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saubh\Anudip excel project\"/>
    </mc:Choice>
  </mc:AlternateContent>
  <xr:revisionPtr revIDLastSave="0" documentId="13_ncr:1_{A977E44E-59B0-4A95-AE61-88522A05439D}" xr6:coauthVersionLast="47" xr6:coauthVersionMax="47" xr10:uidLastSave="{00000000-0000-0000-0000-000000000000}"/>
  <bookViews>
    <workbookView xWindow="-108" yWindow="-108" windowWidth="23256" windowHeight="12456" firstSheet="2" activeTab="3" xr2:uid="{F8E5A744-92BF-4D04-B66D-36554F2C1428}"/>
  </bookViews>
  <sheets>
    <sheet name="Revenue by chatagory" sheetId="9" r:id="rId1"/>
    <sheet name="Delivery Status by Oder ID" sheetId="10" r:id="rId2"/>
    <sheet name="Region vs quantity" sheetId="11" r:id="rId3"/>
    <sheet name="DATA(RAW CUM CLEANED)" sheetId="1" r:id="rId4"/>
    <sheet name="Data Cleaning instructions" sheetId="6" r:id="rId5"/>
    <sheet name="Dashboard" sheetId="8" r:id="rId6"/>
    <sheet name="Home Page" sheetId="13" r:id="rId7"/>
  </sheets>
  <definedNames>
    <definedName name="_xlnm._FilterDatabase" localSheetId="3" hidden="1">'DATA(RAW CUM CLEANED)'!$A$1:$N$202</definedName>
    <definedName name="_xlcn.WorksheetConnection_DATARAWCUMCLEANEDP1AC2021" hidden="1">'DATA(RAW CUM CLEANED)'!$P$1:$AC$202</definedName>
    <definedName name="Clean">'DATA(RAW CUM CLEANED)'!$P$1</definedName>
    <definedName name="Clean_Data">'DATA(RAW CUM CLEANED)'!$P$1</definedName>
    <definedName name="Slicer_Category">#N/A</definedName>
    <definedName name="Slicer_Category1">#N/A</definedName>
    <definedName name="Slicer_Region">#N/A</definedName>
    <definedName name="table1">'DATA(RAW CUM CLEANED)'!$A$1</definedName>
    <definedName name="table2">'DATA(RAW CUM CLEANED)'!$P$1</definedName>
    <definedName name="Uncleaned">'DATA(RAW CUM CLEANED)'!$A$1</definedName>
    <definedName name="Uncleaned_Data">'DATA(RAW CUM CLEANED)'!$A$1</definedName>
  </definedNames>
  <calcPr calcId="191029"/>
  <pivotCaches>
    <pivotCache cacheId="2" r:id="rId8"/>
    <pivotCache cacheId="16" r:id="rId9"/>
    <pivotCache cacheId="28" r:id="rId10"/>
  </pivotCaches>
  <fileRecoveryPr repairLoad="1"/>
  <extLst>
    <ext xmlns:x14="http://schemas.microsoft.com/office/spreadsheetml/2009/9/main" uri="{876F7934-8845-4945-9796-88D515C7AA90}">
      <x14:pivotCaches>
        <pivotCache cacheId="4" r:id="rId11"/>
      </x14:pivotCaches>
    </ex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RAW CUM CLEANED)!$P$1:$AC$20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C202" i="1" l="1"/>
  <c r="Z202" i="1"/>
  <c r="X202" i="1"/>
  <c r="W202" i="1"/>
  <c r="V202" i="1"/>
  <c r="U202" i="1"/>
  <c r="T202" i="1"/>
  <c r="S202" i="1"/>
  <c r="R202" i="1"/>
  <c r="Q202" i="1"/>
  <c r="P202" i="1"/>
  <c r="AC201" i="1"/>
  <c r="Z201" i="1"/>
  <c r="X201" i="1"/>
  <c r="W201" i="1"/>
  <c r="V201" i="1"/>
  <c r="U201" i="1"/>
  <c r="T201" i="1"/>
  <c r="S201" i="1"/>
  <c r="R201" i="1"/>
  <c r="Q201" i="1"/>
  <c r="P201" i="1"/>
  <c r="AC200" i="1"/>
  <c r="Z200" i="1"/>
  <c r="X200" i="1"/>
  <c r="W200" i="1"/>
  <c r="V200" i="1"/>
  <c r="U200" i="1"/>
  <c r="T200" i="1"/>
  <c r="S200" i="1"/>
  <c r="R200" i="1"/>
  <c r="Q200" i="1"/>
  <c r="P200" i="1"/>
  <c r="AC199" i="1"/>
  <c r="Z199" i="1"/>
  <c r="X199" i="1"/>
  <c r="W199" i="1"/>
  <c r="V199" i="1"/>
  <c r="U199" i="1"/>
  <c r="T199" i="1"/>
  <c r="S199" i="1"/>
  <c r="R199" i="1"/>
  <c r="Q199" i="1"/>
  <c r="P199" i="1"/>
  <c r="AC198" i="1"/>
  <c r="Z198" i="1"/>
  <c r="X198" i="1"/>
  <c r="W198" i="1"/>
  <c r="V198" i="1"/>
  <c r="U198" i="1"/>
  <c r="T198" i="1"/>
  <c r="S198" i="1"/>
  <c r="R198" i="1"/>
  <c r="Q198" i="1"/>
  <c r="P198" i="1"/>
  <c r="AC197" i="1"/>
  <c r="Z197" i="1"/>
  <c r="X197" i="1"/>
  <c r="W197" i="1"/>
  <c r="V197" i="1"/>
  <c r="U197" i="1"/>
  <c r="T197" i="1"/>
  <c r="S197" i="1"/>
  <c r="R197" i="1"/>
  <c r="Q197" i="1"/>
  <c r="P197" i="1"/>
  <c r="AC196" i="1"/>
  <c r="Z196" i="1"/>
  <c r="X196" i="1"/>
  <c r="W196" i="1"/>
  <c r="V196" i="1"/>
  <c r="U196" i="1"/>
  <c r="T196" i="1"/>
  <c r="S196" i="1"/>
  <c r="R196" i="1"/>
  <c r="Q196" i="1"/>
  <c r="P196" i="1"/>
  <c r="AC195" i="1"/>
  <c r="Z195" i="1"/>
  <c r="X195" i="1"/>
  <c r="W195" i="1"/>
  <c r="V195" i="1"/>
  <c r="U195" i="1"/>
  <c r="T195" i="1"/>
  <c r="S195" i="1"/>
  <c r="R195" i="1"/>
  <c r="Q195" i="1"/>
  <c r="P195" i="1"/>
  <c r="AC194" i="1"/>
  <c r="Z194" i="1"/>
  <c r="X194" i="1"/>
  <c r="W194" i="1"/>
  <c r="V194" i="1"/>
  <c r="U194" i="1"/>
  <c r="T194" i="1"/>
  <c r="S194" i="1"/>
  <c r="R194" i="1"/>
  <c r="Q194" i="1"/>
  <c r="P194" i="1"/>
  <c r="AC193" i="1"/>
  <c r="Z193" i="1"/>
  <c r="X193" i="1"/>
  <c r="W193" i="1"/>
  <c r="V193" i="1"/>
  <c r="U193" i="1"/>
  <c r="T193" i="1"/>
  <c r="S193" i="1"/>
  <c r="R193" i="1"/>
  <c r="Q193" i="1"/>
  <c r="P193" i="1"/>
  <c r="AC192" i="1"/>
  <c r="Z192" i="1"/>
  <c r="X192" i="1"/>
  <c r="W192" i="1"/>
  <c r="V192" i="1"/>
  <c r="U192" i="1"/>
  <c r="T192" i="1"/>
  <c r="S192" i="1"/>
  <c r="R192" i="1"/>
  <c r="Q192" i="1"/>
  <c r="P192" i="1"/>
  <c r="AC191" i="1"/>
  <c r="Z191" i="1"/>
  <c r="X191" i="1"/>
  <c r="W191" i="1"/>
  <c r="V191" i="1"/>
  <c r="U191" i="1"/>
  <c r="T191" i="1"/>
  <c r="S191" i="1"/>
  <c r="R191" i="1"/>
  <c r="Q191" i="1"/>
  <c r="P191" i="1"/>
  <c r="AC190" i="1"/>
  <c r="Z190" i="1"/>
  <c r="X190" i="1"/>
  <c r="W190" i="1"/>
  <c r="V190" i="1"/>
  <c r="U190" i="1"/>
  <c r="T190" i="1"/>
  <c r="S190" i="1"/>
  <c r="R190" i="1"/>
  <c r="Q190" i="1"/>
  <c r="P190" i="1"/>
  <c r="AC189" i="1"/>
  <c r="Z189" i="1"/>
  <c r="X189" i="1"/>
  <c r="W189" i="1"/>
  <c r="V189" i="1"/>
  <c r="U189" i="1"/>
  <c r="T189" i="1"/>
  <c r="S189" i="1"/>
  <c r="R189" i="1"/>
  <c r="Q189" i="1"/>
  <c r="P189" i="1"/>
  <c r="AC188" i="1"/>
  <c r="Z188" i="1"/>
  <c r="X188" i="1"/>
  <c r="W188" i="1"/>
  <c r="V188" i="1"/>
  <c r="U188" i="1"/>
  <c r="T188" i="1"/>
  <c r="S188" i="1"/>
  <c r="R188" i="1"/>
  <c r="Q188" i="1"/>
  <c r="P188" i="1"/>
  <c r="AC187" i="1"/>
  <c r="Z187" i="1"/>
  <c r="X187" i="1"/>
  <c r="W187" i="1"/>
  <c r="V187" i="1"/>
  <c r="U187" i="1"/>
  <c r="T187" i="1"/>
  <c r="S187" i="1"/>
  <c r="R187" i="1"/>
  <c r="Q187" i="1"/>
  <c r="P187" i="1"/>
  <c r="AC186" i="1"/>
  <c r="Z186" i="1"/>
  <c r="X186" i="1"/>
  <c r="W186" i="1"/>
  <c r="V186" i="1"/>
  <c r="U186" i="1"/>
  <c r="T186" i="1"/>
  <c r="S186" i="1"/>
  <c r="R186" i="1"/>
  <c r="Q186" i="1"/>
  <c r="P186" i="1"/>
  <c r="AC185" i="1"/>
  <c r="Z185" i="1"/>
  <c r="X185" i="1"/>
  <c r="W185" i="1"/>
  <c r="V185" i="1"/>
  <c r="U185" i="1"/>
  <c r="T185" i="1"/>
  <c r="S185" i="1"/>
  <c r="R185" i="1"/>
  <c r="Q185" i="1"/>
  <c r="P185" i="1"/>
  <c r="AC184" i="1"/>
  <c r="Z184" i="1"/>
  <c r="X184" i="1"/>
  <c r="W184" i="1"/>
  <c r="V184" i="1"/>
  <c r="U184" i="1"/>
  <c r="T184" i="1"/>
  <c r="S184" i="1"/>
  <c r="R184" i="1"/>
  <c r="Q184" i="1"/>
  <c r="P184" i="1"/>
  <c r="AC183" i="1"/>
  <c r="Z183" i="1"/>
  <c r="X183" i="1"/>
  <c r="W183" i="1"/>
  <c r="V183" i="1"/>
  <c r="U183" i="1"/>
  <c r="T183" i="1"/>
  <c r="S183" i="1"/>
  <c r="R183" i="1"/>
  <c r="Q183" i="1"/>
  <c r="P183" i="1"/>
  <c r="AC182" i="1"/>
  <c r="Z182" i="1"/>
  <c r="X182" i="1"/>
  <c r="W182" i="1"/>
  <c r="V182" i="1"/>
  <c r="U182" i="1"/>
  <c r="T182" i="1"/>
  <c r="S182" i="1"/>
  <c r="R182" i="1"/>
  <c r="Q182" i="1"/>
  <c r="P182" i="1"/>
  <c r="AC181" i="1"/>
  <c r="Z181" i="1"/>
  <c r="X181" i="1"/>
  <c r="W181" i="1"/>
  <c r="V181" i="1"/>
  <c r="U181" i="1"/>
  <c r="T181" i="1"/>
  <c r="S181" i="1"/>
  <c r="R181" i="1"/>
  <c r="Q181" i="1"/>
  <c r="P181" i="1"/>
  <c r="AC180" i="1"/>
  <c r="Z180" i="1"/>
  <c r="X180" i="1"/>
  <c r="W180" i="1"/>
  <c r="V180" i="1"/>
  <c r="U180" i="1"/>
  <c r="T180" i="1"/>
  <c r="S180" i="1"/>
  <c r="R180" i="1"/>
  <c r="Q180" i="1"/>
  <c r="P180" i="1"/>
  <c r="AC179" i="1"/>
  <c r="Z179" i="1"/>
  <c r="X179" i="1"/>
  <c r="W179" i="1"/>
  <c r="V179" i="1"/>
  <c r="U179" i="1"/>
  <c r="T179" i="1"/>
  <c r="S179" i="1"/>
  <c r="R179" i="1"/>
  <c r="Q179" i="1"/>
  <c r="P179" i="1"/>
  <c r="AC178" i="1"/>
  <c r="Z178" i="1"/>
  <c r="X178" i="1"/>
  <c r="W178" i="1"/>
  <c r="V178" i="1"/>
  <c r="U178" i="1"/>
  <c r="T178" i="1"/>
  <c r="S178" i="1"/>
  <c r="R178" i="1"/>
  <c r="Q178" i="1"/>
  <c r="P178" i="1"/>
  <c r="AC177" i="1"/>
  <c r="Z177" i="1"/>
  <c r="X177" i="1"/>
  <c r="W177" i="1"/>
  <c r="V177" i="1"/>
  <c r="U177" i="1"/>
  <c r="T177" i="1"/>
  <c r="S177" i="1"/>
  <c r="R177" i="1"/>
  <c r="Q177" i="1"/>
  <c r="P177" i="1"/>
  <c r="AC176" i="1"/>
  <c r="Z176" i="1"/>
  <c r="X176" i="1"/>
  <c r="W176" i="1"/>
  <c r="V176" i="1"/>
  <c r="U176" i="1"/>
  <c r="T176" i="1"/>
  <c r="S176" i="1"/>
  <c r="R176" i="1"/>
  <c r="Q176" i="1"/>
  <c r="P176" i="1"/>
  <c r="AC175" i="1"/>
  <c r="Z175" i="1"/>
  <c r="X175" i="1"/>
  <c r="W175" i="1"/>
  <c r="V175" i="1"/>
  <c r="U175" i="1"/>
  <c r="T175" i="1"/>
  <c r="S175" i="1"/>
  <c r="R175" i="1"/>
  <c r="Q175" i="1"/>
  <c r="P175" i="1"/>
  <c r="AC174" i="1"/>
  <c r="Z174" i="1"/>
  <c r="X174" i="1"/>
  <c r="W174" i="1"/>
  <c r="V174" i="1"/>
  <c r="U174" i="1"/>
  <c r="T174" i="1"/>
  <c r="S174" i="1"/>
  <c r="R174" i="1"/>
  <c r="Q174" i="1"/>
  <c r="P174" i="1"/>
  <c r="AC173" i="1"/>
  <c r="Z173" i="1"/>
  <c r="X173" i="1"/>
  <c r="W173" i="1"/>
  <c r="V173" i="1"/>
  <c r="U173" i="1"/>
  <c r="T173" i="1"/>
  <c r="S173" i="1"/>
  <c r="R173" i="1"/>
  <c r="Q173" i="1"/>
  <c r="P173" i="1"/>
  <c r="AC172" i="1"/>
  <c r="Z172" i="1"/>
  <c r="X172" i="1"/>
  <c r="W172" i="1"/>
  <c r="V172" i="1"/>
  <c r="U172" i="1"/>
  <c r="T172" i="1"/>
  <c r="S172" i="1"/>
  <c r="R172" i="1"/>
  <c r="Q172" i="1"/>
  <c r="P172" i="1"/>
  <c r="AC171" i="1"/>
  <c r="Z171" i="1"/>
  <c r="X171" i="1"/>
  <c r="W171" i="1"/>
  <c r="V171" i="1"/>
  <c r="U171" i="1"/>
  <c r="T171" i="1"/>
  <c r="S171" i="1"/>
  <c r="R171" i="1"/>
  <c r="Q171" i="1"/>
  <c r="P171" i="1"/>
  <c r="AC170" i="1"/>
  <c r="Z170" i="1"/>
  <c r="X170" i="1"/>
  <c r="W170" i="1"/>
  <c r="V170" i="1"/>
  <c r="U170" i="1"/>
  <c r="T170" i="1"/>
  <c r="S170" i="1"/>
  <c r="R170" i="1"/>
  <c r="Q170" i="1"/>
  <c r="P170" i="1"/>
  <c r="AC169" i="1"/>
  <c r="Z169" i="1"/>
  <c r="X169" i="1"/>
  <c r="W169" i="1"/>
  <c r="V169" i="1"/>
  <c r="U169" i="1"/>
  <c r="T169" i="1"/>
  <c r="S169" i="1"/>
  <c r="R169" i="1"/>
  <c r="Q169" i="1"/>
  <c r="P169" i="1"/>
  <c r="AC168" i="1"/>
  <c r="Z168" i="1"/>
  <c r="X168" i="1"/>
  <c r="W168" i="1"/>
  <c r="V168" i="1"/>
  <c r="U168" i="1"/>
  <c r="T168" i="1"/>
  <c r="S168" i="1"/>
  <c r="R168" i="1"/>
  <c r="Q168" i="1"/>
  <c r="P168" i="1"/>
  <c r="AC167" i="1"/>
  <c r="Z167" i="1"/>
  <c r="X167" i="1"/>
  <c r="W167" i="1"/>
  <c r="V167" i="1"/>
  <c r="U167" i="1"/>
  <c r="T167" i="1"/>
  <c r="S167" i="1"/>
  <c r="R167" i="1"/>
  <c r="Q167" i="1"/>
  <c r="P167" i="1"/>
  <c r="AC166" i="1"/>
  <c r="Z166" i="1"/>
  <c r="X166" i="1"/>
  <c r="W166" i="1"/>
  <c r="V166" i="1"/>
  <c r="U166" i="1"/>
  <c r="T166" i="1"/>
  <c r="S166" i="1"/>
  <c r="R166" i="1"/>
  <c r="Q166" i="1"/>
  <c r="P166" i="1"/>
  <c r="AC165" i="1"/>
  <c r="Z165" i="1"/>
  <c r="X165" i="1"/>
  <c r="W165" i="1"/>
  <c r="V165" i="1"/>
  <c r="U165" i="1"/>
  <c r="T165" i="1"/>
  <c r="S165" i="1"/>
  <c r="R165" i="1"/>
  <c r="Q165" i="1"/>
  <c r="P165" i="1"/>
  <c r="AC164" i="1"/>
  <c r="Z164" i="1"/>
  <c r="X164" i="1"/>
  <c r="W164" i="1"/>
  <c r="V164" i="1"/>
  <c r="U164" i="1"/>
  <c r="T164" i="1"/>
  <c r="S164" i="1"/>
  <c r="R164" i="1"/>
  <c r="Q164" i="1"/>
  <c r="P164" i="1"/>
  <c r="AC163" i="1"/>
  <c r="Z163" i="1"/>
  <c r="X163" i="1"/>
  <c r="W163" i="1"/>
  <c r="V163" i="1"/>
  <c r="U163" i="1"/>
  <c r="T163" i="1"/>
  <c r="S163" i="1"/>
  <c r="R163" i="1"/>
  <c r="Q163" i="1"/>
  <c r="P163" i="1"/>
  <c r="AC162" i="1"/>
  <c r="Z162" i="1"/>
  <c r="X162" i="1"/>
  <c r="W162" i="1"/>
  <c r="V162" i="1"/>
  <c r="U162" i="1"/>
  <c r="T162" i="1"/>
  <c r="S162" i="1"/>
  <c r="R162" i="1"/>
  <c r="Q162" i="1"/>
  <c r="P162" i="1"/>
  <c r="AC161" i="1"/>
  <c r="Z161" i="1"/>
  <c r="X161" i="1"/>
  <c r="W161" i="1"/>
  <c r="V161" i="1"/>
  <c r="U161" i="1"/>
  <c r="T161" i="1"/>
  <c r="S161" i="1"/>
  <c r="R161" i="1"/>
  <c r="Q161" i="1"/>
  <c r="P161" i="1"/>
  <c r="AC160" i="1"/>
  <c r="Z160" i="1"/>
  <c r="X160" i="1"/>
  <c r="W160" i="1"/>
  <c r="V160" i="1"/>
  <c r="U160" i="1"/>
  <c r="T160" i="1"/>
  <c r="S160" i="1"/>
  <c r="R160" i="1"/>
  <c r="Q160" i="1"/>
  <c r="P160" i="1"/>
  <c r="AC159" i="1"/>
  <c r="Z159" i="1"/>
  <c r="X159" i="1"/>
  <c r="W159" i="1"/>
  <c r="V159" i="1"/>
  <c r="U159" i="1"/>
  <c r="T159" i="1"/>
  <c r="S159" i="1"/>
  <c r="R159" i="1"/>
  <c r="Q159" i="1"/>
  <c r="P159" i="1"/>
  <c r="AC158" i="1"/>
  <c r="Z158" i="1"/>
  <c r="X158" i="1"/>
  <c r="W158" i="1"/>
  <c r="V158" i="1"/>
  <c r="U158" i="1"/>
  <c r="T158" i="1"/>
  <c r="S158" i="1"/>
  <c r="R158" i="1"/>
  <c r="Q158" i="1"/>
  <c r="P158" i="1"/>
  <c r="AC157" i="1"/>
  <c r="Z157" i="1"/>
  <c r="X157" i="1"/>
  <c r="W157" i="1"/>
  <c r="V157" i="1"/>
  <c r="U157" i="1"/>
  <c r="T157" i="1"/>
  <c r="S157" i="1"/>
  <c r="R157" i="1"/>
  <c r="Q157" i="1"/>
  <c r="P157" i="1"/>
  <c r="AC156" i="1"/>
  <c r="Z156" i="1"/>
  <c r="X156" i="1"/>
  <c r="W156" i="1"/>
  <c r="V156" i="1"/>
  <c r="U156" i="1"/>
  <c r="T156" i="1"/>
  <c r="S156" i="1"/>
  <c r="R156" i="1"/>
  <c r="Q156" i="1"/>
  <c r="P156" i="1"/>
  <c r="AC155" i="1"/>
  <c r="Z155" i="1"/>
  <c r="X155" i="1"/>
  <c r="W155" i="1"/>
  <c r="V155" i="1"/>
  <c r="U155" i="1"/>
  <c r="T155" i="1"/>
  <c r="S155" i="1"/>
  <c r="R155" i="1"/>
  <c r="Q155" i="1"/>
  <c r="P155" i="1"/>
  <c r="AC154" i="1"/>
  <c r="Z154" i="1"/>
  <c r="X154" i="1"/>
  <c r="W154" i="1"/>
  <c r="V154" i="1"/>
  <c r="U154" i="1"/>
  <c r="T154" i="1"/>
  <c r="S154" i="1"/>
  <c r="R154" i="1"/>
  <c r="Q154" i="1"/>
  <c r="P154" i="1"/>
  <c r="AC153" i="1"/>
  <c r="Z153" i="1"/>
  <c r="X153" i="1"/>
  <c r="W153" i="1"/>
  <c r="V153" i="1"/>
  <c r="U153" i="1"/>
  <c r="T153" i="1"/>
  <c r="S153" i="1"/>
  <c r="R153" i="1"/>
  <c r="Q153" i="1"/>
  <c r="P153" i="1"/>
  <c r="AC152" i="1"/>
  <c r="Z152" i="1"/>
  <c r="X152" i="1"/>
  <c r="W152" i="1"/>
  <c r="V152" i="1"/>
  <c r="U152" i="1"/>
  <c r="T152" i="1"/>
  <c r="S152" i="1"/>
  <c r="R152" i="1"/>
  <c r="Q152" i="1"/>
  <c r="P152" i="1"/>
  <c r="AC151" i="1"/>
  <c r="Z151" i="1"/>
  <c r="X151" i="1"/>
  <c r="W151" i="1"/>
  <c r="V151" i="1"/>
  <c r="U151" i="1"/>
  <c r="T151" i="1"/>
  <c r="S151" i="1"/>
  <c r="R151" i="1"/>
  <c r="Q151" i="1"/>
  <c r="P151" i="1"/>
  <c r="AC150" i="1"/>
  <c r="Z150" i="1"/>
  <c r="X150" i="1"/>
  <c r="W150" i="1"/>
  <c r="V150" i="1"/>
  <c r="U150" i="1"/>
  <c r="T150" i="1"/>
  <c r="S150" i="1"/>
  <c r="R150" i="1"/>
  <c r="Q150" i="1"/>
  <c r="P150" i="1"/>
  <c r="AC149" i="1"/>
  <c r="Z149" i="1"/>
  <c r="X149" i="1"/>
  <c r="W149" i="1"/>
  <c r="V149" i="1"/>
  <c r="U149" i="1"/>
  <c r="T149" i="1"/>
  <c r="S149" i="1"/>
  <c r="R149" i="1"/>
  <c r="Q149" i="1"/>
  <c r="P149" i="1"/>
  <c r="AC148" i="1"/>
  <c r="Z148" i="1"/>
  <c r="X148" i="1"/>
  <c r="W148" i="1"/>
  <c r="V148" i="1"/>
  <c r="U148" i="1"/>
  <c r="T148" i="1"/>
  <c r="S148" i="1"/>
  <c r="R148" i="1"/>
  <c r="Q148" i="1"/>
  <c r="P148" i="1"/>
  <c r="AC147" i="1"/>
  <c r="Z147" i="1"/>
  <c r="X147" i="1"/>
  <c r="W147" i="1"/>
  <c r="V147" i="1"/>
  <c r="U147" i="1"/>
  <c r="T147" i="1"/>
  <c r="S147" i="1"/>
  <c r="R147" i="1"/>
  <c r="Q147" i="1"/>
  <c r="P147" i="1"/>
  <c r="AC146" i="1"/>
  <c r="Z146" i="1"/>
  <c r="X146" i="1"/>
  <c r="W146" i="1"/>
  <c r="V146" i="1"/>
  <c r="U146" i="1"/>
  <c r="T146" i="1"/>
  <c r="S146" i="1"/>
  <c r="R146" i="1"/>
  <c r="Q146" i="1"/>
  <c r="P146" i="1"/>
  <c r="AC145" i="1"/>
  <c r="Z145" i="1"/>
  <c r="X145" i="1"/>
  <c r="W145" i="1"/>
  <c r="V145" i="1"/>
  <c r="U145" i="1"/>
  <c r="T145" i="1"/>
  <c r="S145" i="1"/>
  <c r="R145" i="1"/>
  <c r="Q145" i="1"/>
  <c r="P145" i="1"/>
  <c r="AC144" i="1"/>
  <c r="Z144" i="1"/>
  <c r="X144" i="1"/>
  <c r="W144" i="1"/>
  <c r="V144" i="1"/>
  <c r="U144" i="1"/>
  <c r="T144" i="1"/>
  <c r="S144" i="1"/>
  <c r="R144" i="1"/>
  <c r="Q144" i="1"/>
  <c r="P144" i="1"/>
  <c r="AC143" i="1"/>
  <c r="Z143" i="1"/>
  <c r="X143" i="1"/>
  <c r="W143" i="1"/>
  <c r="V143" i="1"/>
  <c r="U143" i="1"/>
  <c r="T143" i="1"/>
  <c r="S143" i="1"/>
  <c r="R143" i="1"/>
  <c r="Q143" i="1"/>
  <c r="P143" i="1"/>
  <c r="AC142" i="1"/>
  <c r="Z142" i="1"/>
  <c r="X142" i="1"/>
  <c r="W142" i="1"/>
  <c r="V142" i="1"/>
  <c r="U142" i="1"/>
  <c r="T142" i="1"/>
  <c r="S142" i="1"/>
  <c r="R142" i="1"/>
  <c r="Q142" i="1"/>
  <c r="P142" i="1"/>
  <c r="AC141" i="1"/>
  <c r="Z141" i="1"/>
  <c r="X141" i="1"/>
  <c r="W141" i="1"/>
  <c r="V141" i="1"/>
  <c r="U141" i="1"/>
  <c r="T141" i="1"/>
  <c r="S141" i="1"/>
  <c r="R141" i="1"/>
  <c r="Q141" i="1"/>
  <c r="P141" i="1"/>
  <c r="AC140" i="1"/>
  <c r="Z140" i="1"/>
  <c r="X140" i="1"/>
  <c r="W140" i="1"/>
  <c r="V140" i="1"/>
  <c r="U140" i="1"/>
  <c r="T140" i="1"/>
  <c r="S140" i="1"/>
  <c r="R140" i="1"/>
  <c r="Q140" i="1"/>
  <c r="P140" i="1"/>
  <c r="AC139" i="1"/>
  <c r="Z139" i="1"/>
  <c r="X139" i="1"/>
  <c r="W139" i="1"/>
  <c r="V139" i="1"/>
  <c r="U139" i="1"/>
  <c r="T139" i="1"/>
  <c r="S139" i="1"/>
  <c r="R139" i="1"/>
  <c r="Q139" i="1"/>
  <c r="P139" i="1"/>
  <c r="AC138" i="1"/>
  <c r="Z138" i="1"/>
  <c r="X138" i="1"/>
  <c r="W138" i="1"/>
  <c r="V138" i="1"/>
  <c r="U138" i="1"/>
  <c r="T138" i="1"/>
  <c r="S138" i="1"/>
  <c r="R138" i="1"/>
  <c r="Q138" i="1"/>
  <c r="P138" i="1"/>
  <c r="AC137" i="1"/>
  <c r="Z137" i="1"/>
  <c r="X137" i="1"/>
  <c r="W137" i="1"/>
  <c r="V137" i="1"/>
  <c r="U137" i="1"/>
  <c r="T137" i="1"/>
  <c r="S137" i="1"/>
  <c r="R137" i="1"/>
  <c r="Q137" i="1"/>
  <c r="P137" i="1"/>
  <c r="AC136" i="1"/>
  <c r="Z136" i="1"/>
  <c r="X136" i="1"/>
  <c r="W136" i="1"/>
  <c r="V136" i="1"/>
  <c r="U136" i="1"/>
  <c r="T136" i="1"/>
  <c r="S136" i="1"/>
  <c r="R136" i="1"/>
  <c r="Q136" i="1"/>
  <c r="P136" i="1"/>
  <c r="AC135" i="1"/>
  <c r="Z135" i="1"/>
  <c r="X135" i="1"/>
  <c r="W135" i="1"/>
  <c r="V135" i="1"/>
  <c r="U135" i="1"/>
  <c r="T135" i="1"/>
  <c r="S135" i="1"/>
  <c r="R135" i="1"/>
  <c r="Q135" i="1"/>
  <c r="P135" i="1"/>
  <c r="AC134" i="1"/>
  <c r="Z134" i="1"/>
  <c r="X134" i="1"/>
  <c r="W134" i="1"/>
  <c r="V134" i="1"/>
  <c r="U134" i="1"/>
  <c r="T134" i="1"/>
  <c r="S134" i="1"/>
  <c r="R134" i="1"/>
  <c r="Q134" i="1"/>
  <c r="P134" i="1"/>
  <c r="AC133" i="1"/>
  <c r="Z133" i="1"/>
  <c r="X133" i="1"/>
  <c r="W133" i="1"/>
  <c r="V133" i="1"/>
  <c r="U133" i="1"/>
  <c r="T133" i="1"/>
  <c r="S133" i="1"/>
  <c r="R133" i="1"/>
  <c r="Q133" i="1"/>
  <c r="P133" i="1"/>
  <c r="AC132" i="1"/>
  <c r="Z132" i="1"/>
  <c r="X132" i="1"/>
  <c r="W132" i="1"/>
  <c r="V132" i="1"/>
  <c r="U132" i="1"/>
  <c r="T132" i="1"/>
  <c r="S132" i="1"/>
  <c r="R132" i="1"/>
  <c r="Q132" i="1"/>
  <c r="P132" i="1"/>
  <c r="AC131" i="1"/>
  <c r="Z131" i="1"/>
  <c r="X131" i="1"/>
  <c r="W131" i="1"/>
  <c r="V131" i="1"/>
  <c r="U131" i="1"/>
  <c r="T131" i="1"/>
  <c r="S131" i="1"/>
  <c r="R131" i="1"/>
  <c r="Q131" i="1"/>
  <c r="P131" i="1"/>
  <c r="AC130" i="1"/>
  <c r="Z130" i="1"/>
  <c r="X130" i="1"/>
  <c r="W130" i="1"/>
  <c r="V130" i="1"/>
  <c r="U130" i="1"/>
  <c r="T130" i="1"/>
  <c r="S130" i="1"/>
  <c r="R130" i="1"/>
  <c r="Q130" i="1"/>
  <c r="P130" i="1"/>
  <c r="AC129" i="1"/>
  <c r="Z129" i="1"/>
  <c r="X129" i="1"/>
  <c r="W129" i="1"/>
  <c r="V129" i="1"/>
  <c r="U129" i="1"/>
  <c r="T129" i="1"/>
  <c r="S129" i="1"/>
  <c r="R129" i="1"/>
  <c r="Q129" i="1"/>
  <c r="P129" i="1"/>
  <c r="AC128" i="1"/>
  <c r="Z128" i="1"/>
  <c r="X128" i="1"/>
  <c r="W128" i="1"/>
  <c r="V128" i="1"/>
  <c r="U128" i="1"/>
  <c r="T128" i="1"/>
  <c r="S128" i="1"/>
  <c r="R128" i="1"/>
  <c r="Q128" i="1"/>
  <c r="P128" i="1"/>
  <c r="AC127" i="1"/>
  <c r="Z127" i="1"/>
  <c r="X127" i="1"/>
  <c r="W127" i="1"/>
  <c r="V127" i="1"/>
  <c r="U127" i="1"/>
  <c r="T127" i="1"/>
  <c r="S127" i="1"/>
  <c r="R127" i="1"/>
  <c r="Q127" i="1"/>
  <c r="P127" i="1"/>
  <c r="AC126" i="1"/>
  <c r="Z126" i="1"/>
  <c r="X126" i="1"/>
  <c r="W126" i="1"/>
  <c r="V126" i="1"/>
  <c r="U126" i="1"/>
  <c r="T126" i="1"/>
  <c r="S126" i="1"/>
  <c r="R126" i="1"/>
  <c r="Q126" i="1"/>
  <c r="P126" i="1"/>
  <c r="AC125" i="1"/>
  <c r="Z125" i="1"/>
  <c r="X125" i="1"/>
  <c r="W125" i="1"/>
  <c r="V125" i="1"/>
  <c r="U125" i="1"/>
  <c r="T125" i="1"/>
  <c r="S125" i="1"/>
  <c r="R125" i="1"/>
  <c r="Q125" i="1"/>
  <c r="P125" i="1"/>
  <c r="AC124" i="1"/>
  <c r="Z124" i="1"/>
  <c r="X124" i="1"/>
  <c r="W124" i="1"/>
  <c r="V124" i="1"/>
  <c r="U124" i="1"/>
  <c r="T124" i="1"/>
  <c r="S124" i="1"/>
  <c r="R124" i="1"/>
  <c r="Q124" i="1"/>
  <c r="P124" i="1"/>
  <c r="AC123" i="1"/>
  <c r="Z123" i="1"/>
  <c r="X123" i="1"/>
  <c r="W123" i="1"/>
  <c r="V123" i="1"/>
  <c r="U123" i="1"/>
  <c r="T123" i="1"/>
  <c r="S123" i="1"/>
  <c r="R123" i="1"/>
  <c r="Q123" i="1"/>
  <c r="P123" i="1"/>
  <c r="AC122" i="1"/>
  <c r="Z122" i="1"/>
  <c r="X122" i="1"/>
  <c r="W122" i="1"/>
  <c r="V122" i="1"/>
  <c r="U122" i="1"/>
  <c r="T122" i="1"/>
  <c r="S122" i="1"/>
  <c r="R122" i="1"/>
  <c r="Q122" i="1"/>
  <c r="P122" i="1"/>
  <c r="AC121" i="1"/>
  <c r="Z121" i="1"/>
  <c r="X121" i="1"/>
  <c r="W121" i="1"/>
  <c r="V121" i="1"/>
  <c r="U121" i="1"/>
  <c r="T121" i="1"/>
  <c r="S121" i="1"/>
  <c r="R121" i="1"/>
  <c r="Q121" i="1"/>
  <c r="P121" i="1"/>
  <c r="AC120" i="1"/>
  <c r="Z120" i="1"/>
  <c r="X120" i="1"/>
  <c r="W120" i="1"/>
  <c r="V120" i="1"/>
  <c r="U120" i="1"/>
  <c r="T120" i="1"/>
  <c r="S120" i="1"/>
  <c r="R120" i="1"/>
  <c r="Q120" i="1"/>
  <c r="P120" i="1"/>
  <c r="AC119" i="1"/>
  <c r="Z119" i="1"/>
  <c r="X119" i="1"/>
  <c r="W119" i="1"/>
  <c r="V119" i="1"/>
  <c r="U119" i="1"/>
  <c r="T119" i="1"/>
  <c r="S119" i="1"/>
  <c r="R119" i="1"/>
  <c r="Q119" i="1"/>
  <c r="P119" i="1"/>
  <c r="AC118" i="1"/>
  <c r="Z118" i="1"/>
  <c r="X118" i="1"/>
  <c r="W118" i="1"/>
  <c r="V118" i="1"/>
  <c r="U118" i="1"/>
  <c r="T118" i="1"/>
  <c r="S118" i="1"/>
  <c r="R118" i="1"/>
  <c r="Q118" i="1"/>
  <c r="P118" i="1"/>
  <c r="AC117" i="1"/>
  <c r="Z117" i="1"/>
  <c r="X117" i="1"/>
  <c r="W117" i="1"/>
  <c r="V117" i="1"/>
  <c r="U117" i="1"/>
  <c r="T117" i="1"/>
  <c r="S117" i="1"/>
  <c r="R117" i="1"/>
  <c r="Q117" i="1"/>
  <c r="P117" i="1"/>
  <c r="AC116" i="1"/>
  <c r="Z116" i="1"/>
  <c r="X116" i="1"/>
  <c r="W116" i="1"/>
  <c r="V116" i="1"/>
  <c r="U116" i="1"/>
  <c r="T116" i="1"/>
  <c r="S116" i="1"/>
  <c r="R116" i="1"/>
  <c r="Q116" i="1"/>
  <c r="P116" i="1"/>
  <c r="AC115" i="1"/>
  <c r="Z115" i="1"/>
  <c r="X115" i="1"/>
  <c r="W115" i="1"/>
  <c r="V115" i="1"/>
  <c r="U115" i="1"/>
  <c r="T115" i="1"/>
  <c r="S115" i="1"/>
  <c r="R115" i="1"/>
  <c r="Q115" i="1"/>
  <c r="P115" i="1"/>
  <c r="AC114" i="1"/>
  <c r="Z114" i="1"/>
  <c r="X114" i="1"/>
  <c r="W114" i="1"/>
  <c r="V114" i="1"/>
  <c r="U114" i="1"/>
  <c r="T114" i="1"/>
  <c r="S114" i="1"/>
  <c r="R114" i="1"/>
  <c r="Q114" i="1"/>
  <c r="P114" i="1"/>
  <c r="AC113" i="1"/>
  <c r="Z113" i="1"/>
  <c r="X113" i="1"/>
  <c r="W113" i="1"/>
  <c r="V113" i="1"/>
  <c r="U113" i="1"/>
  <c r="T113" i="1"/>
  <c r="S113" i="1"/>
  <c r="R113" i="1"/>
  <c r="Q113" i="1"/>
  <c r="P113" i="1"/>
  <c r="AC112" i="1"/>
  <c r="Z112" i="1"/>
  <c r="X112" i="1"/>
  <c r="W112" i="1"/>
  <c r="V112" i="1"/>
  <c r="U112" i="1"/>
  <c r="T112" i="1"/>
  <c r="S112" i="1"/>
  <c r="R112" i="1"/>
  <c r="Q112" i="1"/>
  <c r="P112" i="1"/>
  <c r="AC111" i="1"/>
  <c r="Z111" i="1"/>
  <c r="X111" i="1"/>
  <c r="W111" i="1"/>
  <c r="V111" i="1"/>
  <c r="U111" i="1"/>
  <c r="T111" i="1"/>
  <c r="S111" i="1"/>
  <c r="R111" i="1"/>
  <c r="Q111" i="1"/>
  <c r="P111" i="1"/>
  <c r="AC110" i="1"/>
  <c r="Z110" i="1"/>
  <c r="X110" i="1"/>
  <c r="W110" i="1"/>
  <c r="V110" i="1"/>
  <c r="U110" i="1"/>
  <c r="T110" i="1"/>
  <c r="S110" i="1"/>
  <c r="R110" i="1"/>
  <c r="Q110" i="1"/>
  <c r="P110" i="1"/>
  <c r="AC109" i="1"/>
  <c r="Z109" i="1"/>
  <c r="X109" i="1"/>
  <c r="W109" i="1"/>
  <c r="V109" i="1"/>
  <c r="U109" i="1"/>
  <c r="T109" i="1"/>
  <c r="S109" i="1"/>
  <c r="R109" i="1"/>
  <c r="Q109" i="1"/>
  <c r="P109" i="1"/>
  <c r="AC108" i="1"/>
  <c r="Z108" i="1"/>
  <c r="X108" i="1"/>
  <c r="W108" i="1"/>
  <c r="V108" i="1"/>
  <c r="U108" i="1"/>
  <c r="T108" i="1"/>
  <c r="S108" i="1"/>
  <c r="R108" i="1"/>
  <c r="Q108" i="1"/>
  <c r="P108" i="1"/>
  <c r="AC107" i="1"/>
  <c r="Z107" i="1"/>
  <c r="X107" i="1"/>
  <c r="W107" i="1"/>
  <c r="V107" i="1"/>
  <c r="U107" i="1"/>
  <c r="T107" i="1"/>
  <c r="S107" i="1"/>
  <c r="R107" i="1"/>
  <c r="Q107" i="1"/>
  <c r="P107" i="1"/>
  <c r="AC106" i="1"/>
  <c r="Z106" i="1"/>
  <c r="X106" i="1"/>
  <c r="W106" i="1"/>
  <c r="V106" i="1"/>
  <c r="U106" i="1"/>
  <c r="T106" i="1"/>
  <c r="S106" i="1"/>
  <c r="R106" i="1"/>
  <c r="Q106" i="1"/>
  <c r="P106" i="1"/>
  <c r="AC105" i="1"/>
  <c r="Z105" i="1"/>
  <c r="X105" i="1"/>
  <c r="W105" i="1"/>
  <c r="V105" i="1"/>
  <c r="U105" i="1"/>
  <c r="T105" i="1"/>
  <c r="S105" i="1"/>
  <c r="R105" i="1"/>
  <c r="Q105" i="1"/>
  <c r="P105" i="1"/>
  <c r="AC104" i="1"/>
  <c r="Z104" i="1"/>
  <c r="X104" i="1"/>
  <c r="W104" i="1"/>
  <c r="V104" i="1"/>
  <c r="U104" i="1"/>
  <c r="T104" i="1"/>
  <c r="S104" i="1"/>
  <c r="R104" i="1"/>
  <c r="Q104" i="1"/>
  <c r="P104" i="1"/>
  <c r="AC103" i="1"/>
  <c r="Z103" i="1"/>
  <c r="X103" i="1"/>
  <c r="W103" i="1"/>
  <c r="V103" i="1"/>
  <c r="U103" i="1"/>
  <c r="T103" i="1"/>
  <c r="S103" i="1"/>
  <c r="R103" i="1"/>
  <c r="Q103" i="1"/>
  <c r="P103" i="1"/>
  <c r="AC102" i="1"/>
  <c r="Z102" i="1"/>
  <c r="X102" i="1"/>
  <c r="W102" i="1"/>
  <c r="V102" i="1"/>
  <c r="U102" i="1"/>
  <c r="T102" i="1"/>
  <c r="S102" i="1"/>
  <c r="R102" i="1"/>
  <c r="Q102" i="1"/>
  <c r="P102" i="1"/>
  <c r="AC101" i="1"/>
  <c r="Z101" i="1"/>
  <c r="X101" i="1"/>
  <c r="W101" i="1"/>
  <c r="V101" i="1"/>
  <c r="U101" i="1"/>
  <c r="T101" i="1"/>
  <c r="S101" i="1"/>
  <c r="R101" i="1"/>
  <c r="Q101" i="1"/>
  <c r="P101" i="1"/>
  <c r="AC100" i="1"/>
  <c r="Z100" i="1"/>
  <c r="X100" i="1"/>
  <c r="W100" i="1"/>
  <c r="V100" i="1"/>
  <c r="U100" i="1"/>
  <c r="T100" i="1"/>
  <c r="S100" i="1"/>
  <c r="R100" i="1"/>
  <c r="Q100" i="1"/>
  <c r="P100" i="1"/>
  <c r="AC99" i="1"/>
  <c r="Z99" i="1"/>
  <c r="X99" i="1"/>
  <c r="W99" i="1"/>
  <c r="V99" i="1"/>
  <c r="U99" i="1"/>
  <c r="T99" i="1"/>
  <c r="S99" i="1"/>
  <c r="R99" i="1"/>
  <c r="Q99" i="1"/>
  <c r="P99" i="1"/>
  <c r="AC98" i="1"/>
  <c r="Z98" i="1"/>
  <c r="X98" i="1"/>
  <c r="W98" i="1"/>
  <c r="V98" i="1"/>
  <c r="U98" i="1"/>
  <c r="T98" i="1"/>
  <c r="S98" i="1"/>
  <c r="R98" i="1"/>
  <c r="Q98" i="1"/>
  <c r="P98" i="1"/>
  <c r="AC97" i="1"/>
  <c r="Z97" i="1"/>
  <c r="X97" i="1"/>
  <c r="W97" i="1"/>
  <c r="V97" i="1"/>
  <c r="U97" i="1"/>
  <c r="T97" i="1"/>
  <c r="S97" i="1"/>
  <c r="R97" i="1"/>
  <c r="Q97" i="1"/>
  <c r="P97" i="1"/>
  <c r="AC96" i="1"/>
  <c r="Z96" i="1"/>
  <c r="X96" i="1"/>
  <c r="W96" i="1"/>
  <c r="V96" i="1"/>
  <c r="U96" i="1"/>
  <c r="T96" i="1"/>
  <c r="S96" i="1"/>
  <c r="R96" i="1"/>
  <c r="Q96" i="1"/>
  <c r="P96" i="1"/>
  <c r="AC95" i="1"/>
  <c r="Z95" i="1"/>
  <c r="X95" i="1"/>
  <c r="W95" i="1"/>
  <c r="V95" i="1"/>
  <c r="U95" i="1"/>
  <c r="T95" i="1"/>
  <c r="S95" i="1"/>
  <c r="R95" i="1"/>
  <c r="Q95" i="1"/>
  <c r="P95" i="1"/>
  <c r="AC94" i="1"/>
  <c r="Z94" i="1"/>
  <c r="X94" i="1"/>
  <c r="W94" i="1"/>
  <c r="V94" i="1"/>
  <c r="U94" i="1"/>
  <c r="T94" i="1"/>
  <c r="S94" i="1"/>
  <c r="R94" i="1"/>
  <c r="Q94" i="1"/>
  <c r="P94" i="1"/>
  <c r="AC93" i="1"/>
  <c r="Z93" i="1"/>
  <c r="X93" i="1"/>
  <c r="W93" i="1"/>
  <c r="V93" i="1"/>
  <c r="U93" i="1"/>
  <c r="T93" i="1"/>
  <c r="S93" i="1"/>
  <c r="R93" i="1"/>
  <c r="Q93" i="1"/>
  <c r="P93" i="1"/>
  <c r="AC92" i="1"/>
  <c r="Z92" i="1"/>
  <c r="X92" i="1"/>
  <c r="W92" i="1"/>
  <c r="V92" i="1"/>
  <c r="U92" i="1"/>
  <c r="T92" i="1"/>
  <c r="S92" i="1"/>
  <c r="R92" i="1"/>
  <c r="Q92" i="1"/>
  <c r="P92" i="1"/>
  <c r="AC91" i="1"/>
  <c r="Z91" i="1"/>
  <c r="X91" i="1"/>
  <c r="W91" i="1"/>
  <c r="V91" i="1"/>
  <c r="U91" i="1"/>
  <c r="T91" i="1"/>
  <c r="S91" i="1"/>
  <c r="R91" i="1"/>
  <c r="Q91" i="1"/>
  <c r="P91" i="1"/>
  <c r="AC90" i="1"/>
  <c r="Z90" i="1"/>
  <c r="X90" i="1"/>
  <c r="W90" i="1"/>
  <c r="V90" i="1"/>
  <c r="U90" i="1"/>
  <c r="T90" i="1"/>
  <c r="S90" i="1"/>
  <c r="R90" i="1"/>
  <c r="Q90" i="1"/>
  <c r="P90" i="1"/>
  <c r="AC89" i="1"/>
  <c r="Z89" i="1"/>
  <c r="X89" i="1"/>
  <c r="W89" i="1"/>
  <c r="V89" i="1"/>
  <c r="U89" i="1"/>
  <c r="T89" i="1"/>
  <c r="S89" i="1"/>
  <c r="R89" i="1"/>
  <c r="Q89" i="1"/>
  <c r="P89" i="1"/>
  <c r="AC88" i="1"/>
  <c r="Z88" i="1"/>
  <c r="X88" i="1"/>
  <c r="W88" i="1"/>
  <c r="V88" i="1"/>
  <c r="U88" i="1"/>
  <c r="T88" i="1"/>
  <c r="S88" i="1"/>
  <c r="R88" i="1"/>
  <c r="Q88" i="1"/>
  <c r="P88" i="1"/>
  <c r="AC87" i="1"/>
  <c r="Z87" i="1"/>
  <c r="X87" i="1"/>
  <c r="W87" i="1"/>
  <c r="V87" i="1"/>
  <c r="U87" i="1"/>
  <c r="T87" i="1"/>
  <c r="S87" i="1"/>
  <c r="R87" i="1"/>
  <c r="Q87" i="1"/>
  <c r="P87" i="1"/>
  <c r="AC86" i="1"/>
  <c r="Z86" i="1"/>
  <c r="X86" i="1"/>
  <c r="W86" i="1"/>
  <c r="V86" i="1"/>
  <c r="U86" i="1"/>
  <c r="T86" i="1"/>
  <c r="S86" i="1"/>
  <c r="R86" i="1"/>
  <c r="Q86" i="1"/>
  <c r="P86" i="1"/>
  <c r="AC85" i="1"/>
  <c r="Z85" i="1"/>
  <c r="X85" i="1"/>
  <c r="W85" i="1"/>
  <c r="V85" i="1"/>
  <c r="U85" i="1"/>
  <c r="T85" i="1"/>
  <c r="S85" i="1"/>
  <c r="R85" i="1"/>
  <c r="Q85" i="1"/>
  <c r="P85" i="1"/>
  <c r="AC84" i="1"/>
  <c r="Z84" i="1"/>
  <c r="X84" i="1"/>
  <c r="W84" i="1"/>
  <c r="V84" i="1"/>
  <c r="U84" i="1"/>
  <c r="T84" i="1"/>
  <c r="S84" i="1"/>
  <c r="R84" i="1"/>
  <c r="Q84" i="1"/>
  <c r="P84" i="1"/>
  <c r="AC83" i="1"/>
  <c r="Z83" i="1"/>
  <c r="X83" i="1"/>
  <c r="W83" i="1"/>
  <c r="V83" i="1"/>
  <c r="U83" i="1"/>
  <c r="T83" i="1"/>
  <c r="S83" i="1"/>
  <c r="R83" i="1"/>
  <c r="Q83" i="1"/>
  <c r="P83" i="1"/>
  <c r="AC82" i="1"/>
  <c r="Z82" i="1"/>
  <c r="X82" i="1"/>
  <c r="W82" i="1"/>
  <c r="V82" i="1"/>
  <c r="U82" i="1"/>
  <c r="T82" i="1"/>
  <c r="S82" i="1"/>
  <c r="R82" i="1"/>
  <c r="Q82" i="1"/>
  <c r="P82" i="1"/>
  <c r="AC81" i="1"/>
  <c r="Z81" i="1"/>
  <c r="X81" i="1"/>
  <c r="W81" i="1"/>
  <c r="V81" i="1"/>
  <c r="U81" i="1"/>
  <c r="T81" i="1"/>
  <c r="S81" i="1"/>
  <c r="R81" i="1"/>
  <c r="Q81" i="1"/>
  <c r="P81" i="1"/>
  <c r="AC80" i="1"/>
  <c r="Z80" i="1"/>
  <c r="X80" i="1"/>
  <c r="W80" i="1"/>
  <c r="V80" i="1"/>
  <c r="U80" i="1"/>
  <c r="T80" i="1"/>
  <c r="S80" i="1"/>
  <c r="R80" i="1"/>
  <c r="Q80" i="1"/>
  <c r="P80" i="1"/>
  <c r="AC79" i="1"/>
  <c r="Z79" i="1"/>
  <c r="X79" i="1"/>
  <c r="W79" i="1"/>
  <c r="V79" i="1"/>
  <c r="U79" i="1"/>
  <c r="T79" i="1"/>
  <c r="S79" i="1"/>
  <c r="R79" i="1"/>
  <c r="Q79" i="1"/>
  <c r="P79" i="1"/>
  <c r="AC78" i="1"/>
  <c r="Z78" i="1"/>
  <c r="X78" i="1"/>
  <c r="W78" i="1"/>
  <c r="V78" i="1"/>
  <c r="U78" i="1"/>
  <c r="T78" i="1"/>
  <c r="S78" i="1"/>
  <c r="R78" i="1"/>
  <c r="Q78" i="1"/>
  <c r="P78" i="1"/>
  <c r="AC77" i="1"/>
  <c r="Z77" i="1"/>
  <c r="X77" i="1"/>
  <c r="W77" i="1"/>
  <c r="V77" i="1"/>
  <c r="U77" i="1"/>
  <c r="T77" i="1"/>
  <c r="S77" i="1"/>
  <c r="R77" i="1"/>
  <c r="Q77" i="1"/>
  <c r="P77" i="1"/>
  <c r="AC76" i="1"/>
  <c r="Z76" i="1"/>
  <c r="X76" i="1"/>
  <c r="W76" i="1"/>
  <c r="V76" i="1"/>
  <c r="U76" i="1"/>
  <c r="T76" i="1"/>
  <c r="S76" i="1"/>
  <c r="R76" i="1"/>
  <c r="Q76" i="1"/>
  <c r="P76" i="1"/>
  <c r="AC75" i="1"/>
  <c r="Z75" i="1"/>
  <c r="X75" i="1"/>
  <c r="W75" i="1"/>
  <c r="V75" i="1"/>
  <c r="U75" i="1"/>
  <c r="T75" i="1"/>
  <c r="S75" i="1"/>
  <c r="R75" i="1"/>
  <c r="Q75" i="1"/>
  <c r="P75" i="1"/>
  <c r="AC74" i="1"/>
  <c r="Z74" i="1"/>
  <c r="X74" i="1"/>
  <c r="W74" i="1"/>
  <c r="V74" i="1"/>
  <c r="U74" i="1"/>
  <c r="T74" i="1"/>
  <c r="S74" i="1"/>
  <c r="R74" i="1"/>
  <c r="Q74" i="1"/>
  <c r="P74" i="1"/>
  <c r="AC73" i="1"/>
  <c r="Z73" i="1"/>
  <c r="X73" i="1"/>
  <c r="W73" i="1"/>
  <c r="V73" i="1"/>
  <c r="U73" i="1"/>
  <c r="T73" i="1"/>
  <c r="S73" i="1"/>
  <c r="R73" i="1"/>
  <c r="Q73" i="1"/>
  <c r="P73" i="1"/>
  <c r="AC72" i="1"/>
  <c r="Z72" i="1"/>
  <c r="X72" i="1"/>
  <c r="W72" i="1"/>
  <c r="V72" i="1"/>
  <c r="U72" i="1"/>
  <c r="T72" i="1"/>
  <c r="S72" i="1"/>
  <c r="R72" i="1"/>
  <c r="Q72" i="1"/>
  <c r="P72" i="1"/>
  <c r="AC71" i="1"/>
  <c r="Z71" i="1"/>
  <c r="X71" i="1"/>
  <c r="W71" i="1"/>
  <c r="V71" i="1"/>
  <c r="U71" i="1"/>
  <c r="T71" i="1"/>
  <c r="S71" i="1"/>
  <c r="R71" i="1"/>
  <c r="Q71" i="1"/>
  <c r="P71" i="1"/>
  <c r="AC70" i="1"/>
  <c r="Z70" i="1"/>
  <c r="X70" i="1"/>
  <c r="W70" i="1"/>
  <c r="V70" i="1"/>
  <c r="U70" i="1"/>
  <c r="T70" i="1"/>
  <c r="S70" i="1"/>
  <c r="R70" i="1"/>
  <c r="Q70" i="1"/>
  <c r="P70" i="1"/>
  <c r="AC69" i="1"/>
  <c r="Z69" i="1"/>
  <c r="X69" i="1"/>
  <c r="W69" i="1"/>
  <c r="V69" i="1"/>
  <c r="U69" i="1"/>
  <c r="T69" i="1"/>
  <c r="S69" i="1"/>
  <c r="R69" i="1"/>
  <c r="Q69" i="1"/>
  <c r="P69" i="1"/>
  <c r="AC68" i="1"/>
  <c r="Z68" i="1"/>
  <c r="X68" i="1"/>
  <c r="W68" i="1"/>
  <c r="V68" i="1"/>
  <c r="U68" i="1"/>
  <c r="T68" i="1"/>
  <c r="S68" i="1"/>
  <c r="R68" i="1"/>
  <c r="Q68" i="1"/>
  <c r="P68" i="1"/>
  <c r="AC67" i="1"/>
  <c r="Z67" i="1"/>
  <c r="X67" i="1"/>
  <c r="W67" i="1"/>
  <c r="V67" i="1"/>
  <c r="U67" i="1"/>
  <c r="T67" i="1"/>
  <c r="S67" i="1"/>
  <c r="R67" i="1"/>
  <c r="Q67" i="1"/>
  <c r="P67" i="1"/>
  <c r="AC66" i="1"/>
  <c r="Z66" i="1"/>
  <c r="X66" i="1"/>
  <c r="W66" i="1"/>
  <c r="V66" i="1"/>
  <c r="U66" i="1"/>
  <c r="T66" i="1"/>
  <c r="S66" i="1"/>
  <c r="R66" i="1"/>
  <c r="Q66" i="1"/>
  <c r="P66" i="1"/>
  <c r="AC65" i="1"/>
  <c r="Z65" i="1"/>
  <c r="X65" i="1"/>
  <c r="W65" i="1"/>
  <c r="V65" i="1"/>
  <c r="U65" i="1"/>
  <c r="T65" i="1"/>
  <c r="S65" i="1"/>
  <c r="R65" i="1"/>
  <c r="Q65" i="1"/>
  <c r="P65" i="1"/>
  <c r="AC64" i="1"/>
  <c r="Z64" i="1"/>
  <c r="X64" i="1"/>
  <c r="W64" i="1"/>
  <c r="V64" i="1"/>
  <c r="U64" i="1"/>
  <c r="T64" i="1"/>
  <c r="S64" i="1"/>
  <c r="R64" i="1"/>
  <c r="Q64" i="1"/>
  <c r="P64" i="1"/>
  <c r="AC63" i="1"/>
  <c r="Z63" i="1"/>
  <c r="X63" i="1"/>
  <c r="W63" i="1"/>
  <c r="V63" i="1"/>
  <c r="U63" i="1"/>
  <c r="T63" i="1"/>
  <c r="S63" i="1"/>
  <c r="R63" i="1"/>
  <c r="Q63" i="1"/>
  <c r="P63" i="1"/>
  <c r="AC62" i="1"/>
  <c r="Z62" i="1"/>
  <c r="X62" i="1"/>
  <c r="W62" i="1"/>
  <c r="V62" i="1"/>
  <c r="U62" i="1"/>
  <c r="T62" i="1"/>
  <c r="S62" i="1"/>
  <c r="R62" i="1"/>
  <c r="Q62" i="1"/>
  <c r="P62" i="1"/>
  <c r="AC61" i="1"/>
  <c r="Z61" i="1"/>
  <c r="X61" i="1"/>
  <c r="W61" i="1"/>
  <c r="V61" i="1"/>
  <c r="U61" i="1"/>
  <c r="T61" i="1"/>
  <c r="S61" i="1"/>
  <c r="R61" i="1"/>
  <c r="Q61" i="1"/>
  <c r="P61" i="1"/>
  <c r="AC60" i="1"/>
  <c r="Z60" i="1"/>
  <c r="X60" i="1"/>
  <c r="W60" i="1"/>
  <c r="V60" i="1"/>
  <c r="U60" i="1"/>
  <c r="T60" i="1"/>
  <c r="S60" i="1"/>
  <c r="R60" i="1"/>
  <c r="Q60" i="1"/>
  <c r="P60" i="1"/>
  <c r="AC59" i="1"/>
  <c r="Z59" i="1"/>
  <c r="X59" i="1"/>
  <c r="W59" i="1"/>
  <c r="V59" i="1"/>
  <c r="U59" i="1"/>
  <c r="T59" i="1"/>
  <c r="S59" i="1"/>
  <c r="R59" i="1"/>
  <c r="Q59" i="1"/>
  <c r="P59" i="1"/>
  <c r="AC58" i="1"/>
  <c r="Z58" i="1"/>
  <c r="X58" i="1"/>
  <c r="W58" i="1"/>
  <c r="V58" i="1"/>
  <c r="U58" i="1"/>
  <c r="T58" i="1"/>
  <c r="S58" i="1"/>
  <c r="R58" i="1"/>
  <c r="Q58" i="1"/>
  <c r="P58" i="1"/>
  <c r="AC57" i="1"/>
  <c r="Z57" i="1"/>
  <c r="X57" i="1"/>
  <c r="W57" i="1"/>
  <c r="V57" i="1"/>
  <c r="U57" i="1"/>
  <c r="T57" i="1"/>
  <c r="S57" i="1"/>
  <c r="R57" i="1"/>
  <c r="Q57" i="1"/>
  <c r="P57" i="1"/>
  <c r="AC56" i="1"/>
  <c r="Z56" i="1"/>
  <c r="X56" i="1"/>
  <c r="W56" i="1"/>
  <c r="V56" i="1"/>
  <c r="U56" i="1"/>
  <c r="T56" i="1"/>
  <c r="S56" i="1"/>
  <c r="R56" i="1"/>
  <c r="Q56" i="1"/>
  <c r="P56" i="1"/>
  <c r="AC55" i="1"/>
  <c r="Z55" i="1"/>
  <c r="X55" i="1"/>
  <c r="W55" i="1"/>
  <c r="V55" i="1"/>
  <c r="U55" i="1"/>
  <c r="T55" i="1"/>
  <c r="S55" i="1"/>
  <c r="R55" i="1"/>
  <c r="Q55" i="1"/>
  <c r="P55" i="1"/>
  <c r="AC54" i="1"/>
  <c r="Z54" i="1"/>
  <c r="X54" i="1"/>
  <c r="W54" i="1"/>
  <c r="V54" i="1"/>
  <c r="U54" i="1"/>
  <c r="T54" i="1"/>
  <c r="S54" i="1"/>
  <c r="R54" i="1"/>
  <c r="Q54" i="1"/>
  <c r="P54" i="1"/>
  <c r="AC53" i="1"/>
  <c r="Z53" i="1"/>
  <c r="X53" i="1"/>
  <c r="W53" i="1"/>
  <c r="V53" i="1"/>
  <c r="U53" i="1"/>
  <c r="T53" i="1"/>
  <c r="S53" i="1"/>
  <c r="R53" i="1"/>
  <c r="Q53" i="1"/>
  <c r="P53" i="1"/>
  <c r="AC52" i="1"/>
  <c r="Z52" i="1"/>
  <c r="X52" i="1"/>
  <c r="W52" i="1"/>
  <c r="V52" i="1"/>
  <c r="U52" i="1"/>
  <c r="T52" i="1"/>
  <c r="S52" i="1"/>
  <c r="R52" i="1"/>
  <c r="Q52" i="1"/>
  <c r="P52" i="1"/>
  <c r="AC51" i="1"/>
  <c r="Z51" i="1"/>
  <c r="X51" i="1"/>
  <c r="W51" i="1"/>
  <c r="V51" i="1"/>
  <c r="U51" i="1"/>
  <c r="T51" i="1"/>
  <c r="S51" i="1"/>
  <c r="R51" i="1"/>
  <c r="Q51" i="1"/>
  <c r="P51" i="1"/>
  <c r="AC50" i="1"/>
  <c r="Z50" i="1"/>
  <c r="X50" i="1"/>
  <c r="W50" i="1"/>
  <c r="V50" i="1"/>
  <c r="U50" i="1"/>
  <c r="T50" i="1"/>
  <c r="S50" i="1"/>
  <c r="R50" i="1"/>
  <c r="Q50" i="1"/>
  <c r="P50" i="1"/>
  <c r="AC49" i="1"/>
  <c r="Z49" i="1"/>
  <c r="X49" i="1"/>
  <c r="W49" i="1"/>
  <c r="V49" i="1"/>
  <c r="U49" i="1"/>
  <c r="T49" i="1"/>
  <c r="S49" i="1"/>
  <c r="R49" i="1"/>
  <c r="Q49" i="1"/>
  <c r="P49" i="1"/>
  <c r="AC48" i="1"/>
  <c r="Z48" i="1"/>
  <c r="X48" i="1"/>
  <c r="W48" i="1"/>
  <c r="V48" i="1"/>
  <c r="U48" i="1"/>
  <c r="T48" i="1"/>
  <c r="S48" i="1"/>
  <c r="R48" i="1"/>
  <c r="Q48" i="1"/>
  <c r="P48" i="1"/>
  <c r="AC47" i="1"/>
  <c r="Z47" i="1"/>
  <c r="X47" i="1"/>
  <c r="W47" i="1"/>
  <c r="V47" i="1"/>
  <c r="U47" i="1"/>
  <c r="T47" i="1"/>
  <c r="S47" i="1"/>
  <c r="R47" i="1"/>
  <c r="Q47" i="1"/>
  <c r="P47" i="1"/>
  <c r="AC46" i="1"/>
  <c r="Z46" i="1"/>
  <c r="X46" i="1"/>
  <c r="W46" i="1"/>
  <c r="V46" i="1"/>
  <c r="U46" i="1"/>
  <c r="T46" i="1"/>
  <c r="S46" i="1"/>
  <c r="R46" i="1"/>
  <c r="Q46" i="1"/>
  <c r="P46" i="1"/>
  <c r="AC45" i="1"/>
  <c r="Z45" i="1"/>
  <c r="X45" i="1"/>
  <c r="W45" i="1"/>
  <c r="V45" i="1"/>
  <c r="U45" i="1"/>
  <c r="T45" i="1"/>
  <c r="S45" i="1"/>
  <c r="R45" i="1"/>
  <c r="Q45" i="1"/>
  <c r="P45" i="1"/>
  <c r="AC44" i="1"/>
  <c r="Z44" i="1"/>
  <c r="X44" i="1"/>
  <c r="W44" i="1"/>
  <c r="V44" i="1"/>
  <c r="U44" i="1"/>
  <c r="T44" i="1"/>
  <c r="S44" i="1"/>
  <c r="R44" i="1"/>
  <c r="Q44" i="1"/>
  <c r="P44" i="1"/>
  <c r="AC43" i="1"/>
  <c r="Z43" i="1"/>
  <c r="X43" i="1"/>
  <c r="W43" i="1"/>
  <c r="V43" i="1"/>
  <c r="U43" i="1"/>
  <c r="T43" i="1"/>
  <c r="S43" i="1"/>
  <c r="R43" i="1"/>
  <c r="Q43" i="1"/>
  <c r="P43" i="1"/>
  <c r="AC42" i="1"/>
  <c r="Z42" i="1"/>
  <c r="X42" i="1"/>
  <c r="W42" i="1"/>
  <c r="V42" i="1"/>
  <c r="U42" i="1"/>
  <c r="T42" i="1"/>
  <c r="S42" i="1"/>
  <c r="R42" i="1"/>
  <c r="Q42" i="1"/>
  <c r="P42" i="1"/>
  <c r="AC41" i="1"/>
  <c r="Z41" i="1"/>
  <c r="X41" i="1"/>
  <c r="W41" i="1"/>
  <c r="V41" i="1"/>
  <c r="U41" i="1"/>
  <c r="T41" i="1"/>
  <c r="S41" i="1"/>
  <c r="R41" i="1"/>
  <c r="Q41" i="1"/>
  <c r="P41" i="1"/>
  <c r="AC40" i="1"/>
  <c r="Z40" i="1"/>
  <c r="X40" i="1"/>
  <c r="W40" i="1"/>
  <c r="V40" i="1"/>
  <c r="U40" i="1"/>
  <c r="T40" i="1"/>
  <c r="S40" i="1"/>
  <c r="R40" i="1"/>
  <c r="Q40" i="1"/>
  <c r="P40" i="1"/>
  <c r="AC39" i="1"/>
  <c r="Z39" i="1"/>
  <c r="X39" i="1"/>
  <c r="W39" i="1"/>
  <c r="V39" i="1"/>
  <c r="U39" i="1"/>
  <c r="T39" i="1"/>
  <c r="S39" i="1"/>
  <c r="R39" i="1"/>
  <c r="Q39" i="1"/>
  <c r="P39" i="1"/>
  <c r="AC38" i="1"/>
  <c r="Z38" i="1"/>
  <c r="X38" i="1"/>
  <c r="W38" i="1"/>
  <c r="V38" i="1"/>
  <c r="U38" i="1"/>
  <c r="T38" i="1"/>
  <c r="S38" i="1"/>
  <c r="R38" i="1"/>
  <c r="Q38" i="1"/>
  <c r="P38" i="1"/>
  <c r="AC37" i="1"/>
  <c r="Z37" i="1"/>
  <c r="X37" i="1"/>
  <c r="W37" i="1"/>
  <c r="V37" i="1"/>
  <c r="U37" i="1"/>
  <c r="T37" i="1"/>
  <c r="S37" i="1"/>
  <c r="R37" i="1"/>
  <c r="Q37" i="1"/>
  <c r="P37" i="1"/>
  <c r="AC36" i="1"/>
  <c r="Z36" i="1"/>
  <c r="X36" i="1"/>
  <c r="W36" i="1"/>
  <c r="V36" i="1"/>
  <c r="U36" i="1"/>
  <c r="T36" i="1"/>
  <c r="S36" i="1"/>
  <c r="R36" i="1"/>
  <c r="Q36" i="1"/>
  <c r="P36" i="1"/>
  <c r="AC35" i="1"/>
  <c r="Z35" i="1"/>
  <c r="X35" i="1"/>
  <c r="W35" i="1"/>
  <c r="V35" i="1"/>
  <c r="U35" i="1"/>
  <c r="T35" i="1"/>
  <c r="S35" i="1"/>
  <c r="R35" i="1"/>
  <c r="Q35" i="1"/>
  <c r="P35" i="1"/>
  <c r="AC34" i="1"/>
  <c r="Z34" i="1"/>
  <c r="X34" i="1"/>
  <c r="W34" i="1"/>
  <c r="V34" i="1"/>
  <c r="U34" i="1"/>
  <c r="T34" i="1"/>
  <c r="S34" i="1"/>
  <c r="R34" i="1"/>
  <c r="Q34" i="1"/>
  <c r="P34" i="1"/>
  <c r="AC33" i="1"/>
  <c r="Z33" i="1"/>
  <c r="X33" i="1"/>
  <c r="W33" i="1"/>
  <c r="V33" i="1"/>
  <c r="U33" i="1"/>
  <c r="T33" i="1"/>
  <c r="S33" i="1"/>
  <c r="R33" i="1"/>
  <c r="Q33" i="1"/>
  <c r="P33" i="1"/>
  <c r="AC32" i="1"/>
  <c r="Z32" i="1"/>
  <c r="X32" i="1"/>
  <c r="W32" i="1"/>
  <c r="V32" i="1"/>
  <c r="U32" i="1"/>
  <c r="T32" i="1"/>
  <c r="S32" i="1"/>
  <c r="R32" i="1"/>
  <c r="Q32" i="1"/>
  <c r="P32" i="1"/>
  <c r="AC31" i="1"/>
  <c r="Z31" i="1"/>
  <c r="X31" i="1"/>
  <c r="W31" i="1"/>
  <c r="V31" i="1"/>
  <c r="U31" i="1"/>
  <c r="T31" i="1"/>
  <c r="S31" i="1"/>
  <c r="R31" i="1"/>
  <c r="Q31" i="1"/>
  <c r="P31" i="1"/>
  <c r="AC30" i="1"/>
  <c r="Z30" i="1"/>
  <c r="X30" i="1"/>
  <c r="W30" i="1"/>
  <c r="V30" i="1"/>
  <c r="U30" i="1"/>
  <c r="T30" i="1"/>
  <c r="S30" i="1"/>
  <c r="R30" i="1"/>
  <c r="Q30" i="1"/>
  <c r="P30" i="1"/>
  <c r="AC29" i="1"/>
  <c r="Z29" i="1"/>
  <c r="X29" i="1"/>
  <c r="W29" i="1"/>
  <c r="V29" i="1"/>
  <c r="U29" i="1"/>
  <c r="T29" i="1"/>
  <c r="S29" i="1"/>
  <c r="R29" i="1"/>
  <c r="Q29" i="1"/>
  <c r="P29" i="1"/>
  <c r="AC28" i="1"/>
  <c r="Z28" i="1"/>
  <c r="X28" i="1"/>
  <c r="W28" i="1"/>
  <c r="V28" i="1"/>
  <c r="U28" i="1"/>
  <c r="T28" i="1"/>
  <c r="S28" i="1"/>
  <c r="R28" i="1"/>
  <c r="Q28" i="1"/>
  <c r="P28" i="1"/>
  <c r="AC27" i="1"/>
  <c r="Z27" i="1"/>
  <c r="X27" i="1"/>
  <c r="W27" i="1"/>
  <c r="V27" i="1"/>
  <c r="U27" i="1"/>
  <c r="T27" i="1"/>
  <c r="S27" i="1"/>
  <c r="R27" i="1"/>
  <c r="Q27" i="1"/>
  <c r="P27" i="1"/>
  <c r="AC26" i="1"/>
  <c r="Z26" i="1"/>
  <c r="X26" i="1"/>
  <c r="W26" i="1"/>
  <c r="V26" i="1"/>
  <c r="U26" i="1"/>
  <c r="T26" i="1"/>
  <c r="S26" i="1"/>
  <c r="R26" i="1"/>
  <c r="Q26" i="1"/>
  <c r="P26" i="1"/>
  <c r="AC25" i="1"/>
  <c r="Z25" i="1"/>
  <c r="X25" i="1"/>
  <c r="W25" i="1"/>
  <c r="V25" i="1"/>
  <c r="U25" i="1"/>
  <c r="T25" i="1"/>
  <c r="S25" i="1"/>
  <c r="R25" i="1"/>
  <c r="Q25" i="1"/>
  <c r="P25" i="1"/>
  <c r="AC24" i="1"/>
  <c r="Z24" i="1"/>
  <c r="X24" i="1"/>
  <c r="W24" i="1"/>
  <c r="V24" i="1"/>
  <c r="U24" i="1"/>
  <c r="T24" i="1"/>
  <c r="S24" i="1"/>
  <c r="R24" i="1"/>
  <c r="Q24" i="1"/>
  <c r="P24" i="1"/>
  <c r="AC23" i="1"/>
  <c r="Z23" i="1"/>
  <c r="X23" i="1"/>
  <c r="W23" i="1"/>
  <c r="V23" i="1"/>
  <c r="U23" i="1"/>
  <c r="T23" i="1"/>
  <c r="S23" i="1"/>
  <c r="R23" i="1"/>
  <c r="Q23" i="1"/>
  <c r="P23" i="1"/>
  <c r="AC22" i="1"/>
  <c r="Z22" i="1"/>
  <c r="X22" i="1"/>
  <c r="W22" i="1"/>
  <c r="V22" i="1"/>
  <c r="U22" i="1"/>
  <c r="T22" i="1"/>
  <c r="S22" i="1"/>
  <c r="R22" i="1"/>
  <c r="Q22" i="1"/>
  <c r="P22" i="1"/>
  <c r="AC21" i="1"/>
  <c r="Z21" i="1"/>
  <c r="X21" i="1"/>
  <c r="W21" i="1"/>
  <c r="V21" i="1"/>
  <c r="U21" i="1"/>
  <c r="T21" i="1"/>
  <c r="S21" i="1"/>
  <c r="R21" i="1"/>
  <c r="Q21" i="1"/>
  <c r="P21" i="1"/>
  <c r="AC20" i="1"/>
  <c r="Z20" i="1"/>
  <c r="X20" i="1"/>
  <c r="W20" i="1"/>
  <c r="V20" i="1"/>
  <c r="U20" i="1"/>
  <c r="T20" i="1"/>
  <c r="S20" i="1"/>
  <c r="R20" i="1"/>
  <c r="Q20" i="1"/>
  <c r="P20" i="1"/>
  <c r="AC19" i="1"/>
  <c r="Z19" i="1"/>
  <c r="X19" i="1"/>
  <c r="W19" i="1"/>
  <c r="V19" i="1"/>
  <c r="U19" i="1"/>
  <c r="T19" i="1"/>
  <c r="S19" i="1"/>
  <c r="R19" i="1"/>
  <c r="Q19" i="1"/>
  <c r="P19" i="1"/>
  <c r="AC18" i="1"/>
  <c r="Z18" i="1"/>
  <c r="X18" i="1"/>
  <c r="W18" i="1"/>
  <c r="V18" i="1"/>
  <c r="U18" i="1"/>
  <c r="T18" i="1"/>
  <c r="S18" i="1"/>
  <c r="R18" i="1"/>
  <c r="Q18" i="1"/>
  <c r="P18" i="1"/>
  <c r="AC17" i="1"/>
  <c r="Z17" i="1"/>
  <c r="X17" i="1"/>
  <c r="W17" i="1"/>
  <c r="V17" i="1"/>
  <c r="U17" i="1"/>
  <c r="T17" i="1"/>
  <c r="S17" i="1"/>
  <c r="R17" i="1"/>
  <c r="Q17" i="1"/>
  <c r="P17" i="1"/>
  <c r="AC16" i="1"/>
  <c r="Z16" i="1"/>
  <c r="X16" i="1"/>
  <c r="W16" i="1"/>
  <c r="V16" i="1"/>
  <c r="U16" i="1"/>
  <c r="T16" i="1"/>
  <c r="S16" i="1"/>
  <c r="R16" i="1"/>
  <c r="Q16" i="1"/>
  <c r="P16" i="1"/>
  <c r="AC15" i="1"/>
  <c r="Z15" i="1"/>
  <c r="X15" i="1"/>
  <c r="W15" i="1"/>
  <c r="V15" i="1"/>
  <c r="U15" i="1"/>
  <c r="T15" i="1"/>
  <c r="S15" i="1"/>
  <c r="R15" i="1"/>
  <c r="Q15" i="1"/>
  <c r="P15" i="1"/>
  <c r="AC14" i="1"/>
  <c r="Z14" i="1"/>
  <c r="X14" i="1"/>
  <c r="W14" i="1"/>
  <c r="V14" i="1"/>
  <c r="U14" i="1"/>
  <c r="T14" i="1"/>
  <c r="S14" i="1"/>
  <c r="R14" i="1"/>
  <c r="Q14" i="1"/>
  <c r="P14" i="1"/>
  <c r="AC13" i="1"/>
  <c r="Z13" i="1"/>
  <c r="X13" i="1"/>
  <c r="W13" i="1"/>
  <c r="V13" i="1"/>
  <c r="U13" i="1"/>
  <c r="T13" i="1"/>
  <c r="S13" i="1"/>
  <c r="R13" i="1"/>
  <c r="Q13" i="1"/>
  <c r="P13" i="1"/>
  <c r="AC12" i="1"/>
  <c r="Z12" i="1"/>
  <c r="X12" i="1"/>
  <c r="W12" i="1"/>
  <c r="V12" i="1"/>
  <c r="U12" i="1"/>
  <c r="T12" i="1"/>
  <c r="S12" i="1"/>
  <c r="R12" i="1"/>
  <c r="Q12" i="1"/>
  <c r="P12" i="1"/>
  <c r="AC11" i="1"/>
  <c r="Z11" i="1"/>
  <c r="X11" i="1"/>
  <c r="W11" i="1"/>
  <c r="V11" i="1"/>
  <c r="U11" i="1"/>
  <c r="T11" i="1"/>
  <c r="S11" i="1"/>
  <c r="R11" i="1"/>
  <c r="Q11" i="1"/>
  <c r="P11" i="1"/>
  <c r="AC10" i="1"/>
  <c r="Z10" i="1"/>
  <c r="X10" i="1"/>
  <c r="W10" i="1"/>
  <c r="V10" i="1"/>
  <c r="U10" i="1"/>
  <c r="T10" i="1"/>
  <c r="S10" i="1"/>
  <c r="R10" i="1"/>
  <c r="Q10" i="1"/>
  <c r="P10" i="1"/>
  <c r="AC9" i="1"/>
  <c r="Z9" i="1"/>
  <c r="X9" i="1"/>
  <c r="W9" i="1"/>
  <c r="V9" i="1"/>
  <c r="U9" i="1"/>
  <c r="T9" i="1"/>
  <c r="S9" i="1"/>
  <c r="R9" i="1"/>
  <c r="Q9" i="1"/>
  <c r="P9" i="1"/>
  <c r="AC8" i="1"/>
  <c r="Z8" i="1"/>
  <c r="X8" i="1"/>
  <c r="W8" i="1"/>
  <c r="V8" i="1"/>
  <c r="U8" i="1"/>
  <c r="T8" i="1"/>
  <c r="S8" i="1"/>
  <c r="R8" i="1"/>
  <c r="Q8" i="1"/>
  <c r="P8" i="1"/>
  <c r="AC7" i="1"/>
  <c r="Z7" i="1"/>
  <c r="X7" i="1"/>
  <c r="W7" i="1"/>
  <c r="V7" i="1"/>
  <c r="U7" i="1"/>
  <c r="T7" i="1"/>
  <c r="S7" i="1"/>
  <c r="R7" i="1"/>
  <c r="Q7" i="1"/>
  <c r="P7" i="1"/>
  <c r="AC6" i="1"/>
  <c r="Z6" i="1"/>
  <c r="X6" i="1"/>
  <c r="W6" i="1"/>
  <c r="V6" i="1"/>
  <c r="U6" i="1"/>
  <c r="T6" i="1"/>
  <c r="S6" i="1"/>
  <c r="R6" i="1"/>
  <c r="Q6" i="1"/>
  <c r="P6" i="1"/>
  <c r="AC5" i="1"/>
  <c r="Z5" i="1"/>
  <c r="X5" i="1"/>
  <c r="W5" i="1"/>
  <c r="V5" i="1"/>
  <c r="U5" i="1"/>
  <c r="T5" i="1"/>
  <c r="S5" i="1"/>
  <c r="R5" i="1"/>
  <c r="Q5" i="1"/>
  <c r="P5" i="1"/>
  <c r="AC4" i="1"/>
  <c r="Z4" i="1"/>
  <c r="X4" i="1"/>
  <c r="W4" i="1"/>
  <c r="V4" i="1"/>
  <c r="U4" i="1"/>
  <c r="T4" i="1"/>
  <c r="S4" i="1"/>
  <c r="R4" i="1"/>
  <c r="Q4" i="1"/>
  <c r="P4" i="1"/>
  <c r="AC3" i="1"/>
  <c r="Z3" i="1"/>
  <c r="X3" i="1"/>
  <c r="W3" i="1"/>
  <c r="V3" i="1"/>
  <c r="U3" i="1"/>
  <c r="T3" i="1"/>
  <c r="S3" i="1"/>
  <c r="R3" i="1"/>
  <c r="Q3" i="1"/>
  <c r="P3" i="1"/>
  <c r="AC2" i="1"/>
  <c r="Z2" i="1"/>
  <c r="X2" i="1"/>
  <c r="W2" i="1"/>
  <c r="V2" i="1"/>
  <c r="U2" i="1"/>
  <c r="T2" i="1"/>
  <c r="S2" i="1"/>
  <c r="R2" i="1"/>
  <c r="Q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6B0E59-01D6-4E92-B07F-1105FF2A64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C3BFC1-D812-4A9C-9688-6582FD99EC3B}" name="WorksheetConnection_DATA(RAW CUM CLEANED)!$P$1:$AC$202" type="102" refreshedVersion="8" minRefreshableVersion="5">
    <extLst>
      <ext xmlns:x15="http://schemas.microsoft.com/office/spreadsheetml/2010/11/main" uri="{DE250136-89BD-433C-8126-D09CA5730AF9}">
        <x15:connection id="Range" autoDelete="1">
          <x15:rangePr sourceName="_xlcn.WorksheetConnection_DATARAWCUMCLEANEDP1AC2021"/>
        </x15:connection>
      </ext>
    </extLst>
  </connection>
</connections>
</file>

<file path=xl/sharedStrings.xml><?xml version="1.0" encoding="utf-8"?>
<sst xmlns="http://schemas.openxmlformats.org/spreadsheetml/2006/main" count="1864" uniqueCount="449">
  <si>
    <t>Order_ID</t>
  </si>
  <si>
    <t>Customer_Name</t>
  </si>
  <si>
    <t>Product</t>
  </si>
  <si>
    <t>Category</t>
  </si>
  <si>
    <t>Region</t>
  </si>
  <si>
    <t>Salesperson</t>
  </si>
  <si>
    <t>Units_Sold</t>
  </si>
  <si>
    <t>Unit_Price</t>
  </si>
  <si>
    <t>Revenue</t>
  </si>
  <si>
    <t>Cost</t>
  </si>
  <si>
    <t>Profit</t>
  </si>
  <si>
    <t>Target_Sales</t>
  </si>
  <si>
    <t>Payment_Mode</t>
  </si>
  <si>
    <t>Order_Status</t>
  </si>
  <si>
    <t>ORD1031</t>
  </si>
  <si>
    <t>Desk</t>
  </si>
  <si>
    <t>Furniture</t>
  </si>
  <si>
    <t>West</t>
  </si>
  <si>
    <t>Amit Paul</t>
  </si>
  <si>
    <t>Card</t>
  </si>
  <si>
    <t>Delivered</t>
  </si>
  <si>
    <t>ORD1173</t>
  </si>
  <si>
    <t>Pen Pack</t>
  </si>
  <si>
    <t>Stationery</t>
  </si>
  <si>
    <t>East</t>
  </si>
  <si>
    <t>Rahul Das</t>
  </si>
  <si>
    <t>UPI</t>
  </si>
  <si>
    <t>ORD1085</t>
  </si>
  <si>
    <t>Cash</t>
  </si>
  <si>
    <t>ORD1200</t>
  </si>
  <si>
    <t>South</t>
  </si>
  <si>
    <t>Pooja Dey</t>
  </si>
  <si>
    <t>ORD1061</t>
  </si>
  <si>
    <t>Bookshelf</t>
  </si>
  <si>
    <t>ORD1156</t>
  </si>
  <si>
    <t>Priyanka Das</t>
  </si>
  <si>
    <t>Printer</t>
  </si>
  <si>
    <t>Electronics</t>
  </si>
  <si>
    <t>ORD1046</t>
  </si>
  <si>
    <t>Deepa Sharma</t>
  </si>
  <si>
    <t>Office Chair</t>
  </si>
  <si>
    <t>North</t>
  </si>
  <si>
    <t>Sneha Roy</t>
  </si>
  <si>
    <t>Pending</t>
  </si>
  <si>
    <t>Sourav Dutta</t>
  </si>
  <si>
    <t>ORD1010</t>
  </si>
  <si>
    <t>Vikram Saha</t>
  </si>
  <si>
    <t>Marker Set</t>
  </si>
  <si>
    <t>ORD1197</t>
  </si>
  <si>
    <t>Vikram Roy</t>
  </si>
  <si>
    <t>ORD1137</t>
  </si>
  <si>
    <t>Ayan Mukhopadhyay</t>
  </si>
  <si>
    <t>ORD1188</t>
  </si>
  <si>
    <t>Ritika Sen</t>
  </si>
  <si>
    <t>ORD1171</t>
  </si>
  <si>
    <t>Ankit Das</t>
  </si>
  <si>
    <t>Laptop</t>
  </si>
  <si>
    <t>ORD1127</t>
  </si>
  <si>
    <t>Aniket Das</t>
  </si>
  <si>
    <t>ORD1016</t>
  </si>
  <si>
    <t>Trisha Dey</t>
  </si>
  <si>
    <t>ORD1074</t>
  </si>
  <si>
    <t>Diya Sharma</t>
  </si>
  <si>
    <t>ORD1166</t>
  </si>
  <si>
    <t>Nandini Roy</t>
  </si>
  <si>
    <t>ORD1019</t>
  </si>
  <si>
    <t>Ayush Verma</t>
  </si>
  <si>
    <t>ORD1169</t>
  </si>
  <si>
    <t>Rahul Jain</t>
  </si>
  <si>
    <t>ORD1094</t>
  </si>
  <si>
    <t>Snehal Ghosh</t>
  </si>
  <si>
    <t>ORD1076</t>
  </si>
  <si>
    <t>Poulomi Sen</t>
  </si>
  <si>
    <t>ORD1056</t>
  </si>
  <si>
    <t>Anusha Dey</t>
  </si>
  <si>
    <t>ORD1148</t>
  </si>
  <si>
    <t>Riya Dutta</t>
  </si>
  <si>
    <t>ORD1110</t>
  </si>
  <si>
    <t>Trisha Roy</t>
  </si>
  <si>
    <t>ORD1109</t>
  </si>
  <si>
    <t>Debashis Pal</t>
  </si>
  <si>
    <t>ORD1143</t>
  </si>
  <si>
    <t>Rohan Dasgupta</t>
  </si>
  <si>
    <t>ORD1026</t>
  </si>
  <si>
    <t>ORD1126</t>
  </si>
  <si>
    <t>Diya Ghosh</t>
  </si>
  <si>
    <t>ORD1017</t>
  </si>
  <si>
    <t>Rajiv Ghosh</t>
  </si>
  <si>
    <t>Monitor</t>
  </si>
  <si>
    <t>ORD1174</t>
  </si>
  <si>
    <t>Trisha Ghosh</t>
  </si>
  <si>
    <t>ORD1193</t>
  </si>
  <si>
    <t>Arjun Das</t>
  </si>
  <si>
    <t>ORD1070</t>
  </si>
  <si>
    <t>Tanisha Saha</t>
  </si>
  <si>
    <t>ORD1102</t>
  </si>
  <si>
    <t>Rohit Sen</t>
  </si>
  <si>
    <t>ORD1068</t>
  </si>
  <si>
    <t>Shalini Dutta</t>
  </si>
  <si>
    <t>Notebook</t>
  </si>
  <si>
    <t>ORD1105</t>
  </si>
  <si>
    <t>Arijit Sharma</t>
  </si>
  <si>
    <t>ORD1133</t>
  </si>
  <si>
    <t>Rahul Kapoor</t>
  </si>
  <si>
    <t>ORD1181</t>
  </si>
  <si>
    <t>Ayan Ghosh</t>
  </si>
  <si>
    <t>ORD1096</t>
  </si>
  <si>
    <t>Ishita Kapoor</t>
  </si>
  <si>
    <t>Rohan Chatterjee</t>
  </si>
  <si>
    <t>ORD1160</t>
  </si>
  <si>
    <t>Sneha Banik</t>
  </si>
  <si>
    <t>ORD1198</t>
  </si>
  <si>
    <t>ORD1163</t>
  </si>
  <si>
    <t>Rohit Banerjee</t>
  </si>
  <si>
    <t>ORD1151</t>
  </si>
  <si>
    <t>Aman Saha</t>
  </si>
  <si>
    <t>ORD1097</t>
  </si>
  <si>
    <t>Rahul Verma</t>
  </si>
  <si>
    <t>ORD1069</t>
  </si>
  <si>
    <t>Kabir Roy</t>
  </si>
  <si>
    <t>ORD1157</t>
  </si>
  <si>
    <t>Anirban Ghosh</t>
  </si>
  <si>
    <t>ORD1087</t>
  </si>
  <si>
    <t>Karan Gupta</t>
  </si>
  <si>
    <t>ORD1101</t>
  </si>
  <si>
    <t>Ananya Ghosh</t>
  </si>
  <si>
    <t>ORD1039</t>
  </si>
  <si>
    <t>Yash Gupta</t>
  </si>
  <si>
    <t>ORD1025</t>
  </si>
  <si>
    <t>Harsh Banerjee</t>
  </si>
  <si>
    <t>ORD1184</t>
  </si>
  <si>
    <t>Pallavi Roy</t>
  </si>
  <si>
    <t>ORD1118</t>
  </si>
  <si>
    <t>RUPSHA BANIK</t>
  </si>
  <si>
    <t>ORD1030</t>
  </si>
  <si>
    <t>Ira Sen</t>
  </si>
  <si>
    <t>ORD1020</t>
  </si>
  <si>
    <t>Simran Kaur</t>
  </si>
  <si>
    <t>ORD1136</t>
  </si>
  <si>
    <t>Ritika Dey</t>
  </si>
  <si>
    <t>ORD1140</t>
  </si>
  <si>
    <t>Pallavi Sen</t>
  </si>
  <si>
    <t>ORD1067</t>
  </si>
  <si>
    <t>Aman Kapoor</t>
  </si>
  <si>
    <t>ORD1066</t>
  </si>
  <si>
    <t>Ritika Mukherjee</t>
  </si>
  <si>
    <t>ORD1006</t>
  </si>
  <si>
    <t>Karan Bose</t>
  </si>
  <si>
    <t>ORD1147</t>
  </si>
  <si>
    <t>Kunal Ghosh</t>
  </si>
  <si>
    <t>ORD1057</t>
  </si>
  <si>
    <t>Rohan Das</t>
  </si>
  <si>
    <t>ORD1098</t>
  </si>
  <si>
    <t>Pooja Sinha</t>
  </si>
  <si>
    <t>ORD1129</t>
  </si>
  <si>
    <t>Sohini Saha</t>
  </si>
  <si>
    <t>ORD1080</t>
  </si>
  <si>
    <t>Shreya Ghosh</t>
  </si>
  <si>
    <t>ORD1116</t>
  </si>
  <si>
    <t>Shivani Mukherjee</t>
  </si>
  <si>
    <t>ORD1175</t>
  </si>
  <si>
    <t>Debashis Roy</t>
  </si>
  <si>
    <t>ORD1032</t>
  </si>
  <si>
    <t>Ankita Pal</t>
  </si>
  <si>
    <t>ORD1013</t>
  </si>
  <si>
    <t>ORD1036</t>
  </si>
  <si>
    <t>Pallavi Dey</t>
  </si>
  <si>
    <t>ORD1029</t>
  </si>
  <si>
    <t>Tanmay Roy</t>
  </si>
  <si>
    <t>ORD1043</t>
  </si>
  <si>
    <t>Rahul Mehta</t>
  </si>
  <si>
    <t>ORD1099</t>
  </si>
  <si>
    <t>Vivek Dutta</t>
  </si>
  <si>
    <t>ORD1144</t>
  </si>
  <si>
    <t>Shreya Kapoor</t>
  </si>
  <si>
    <t>ORD1052</t>
  </si>
  <si>
    <t>Mitali Pal</t>
  </si>
  <si>
    <t>ORD1119</t>
  </si>
  <si>
    <t>Karan Sethi</t>
  </si>
  <si>
    <t>ORD1077</t>
  </si>
  <si>
    <t>Anirban Roy</t>
  </si>
  <si>
    <t>ORD1042</t>
  </si>
  <si>
    <t>Tania Roy</t>
  </si>
  <si>
    <t>ORD1159</t>
  </si>
  <si>
    <t>Kabir Jain</t>
  </si>
  <si>
    <t xml:space="preserve">  ORD1079  </t>
  </si>
  <si>
    <t>Vikas Jain</t>
  </si>
  <si>
    <t>ORD1125</t>
  </si>
  <si>
    <t>Rohan Pal</t>
  </si>
  <si>
    <t>ORD1027</t>
  </si>
  <si>
    <t>Aditya Nanda</t>
  </si>
  <si>
    <t>ORD1141</t>
  </si>
  <si>
    <t>Arijit Roy</t>
  </si>
  <si>
    <t>ORD1179</t>
  </si>
  <si>
    <t>Harsh Gupta</t>
  </si>
  <si>
    <t>ORD1123</t>
  </si>
  <si>
    <t>Vikram Dutta</t>
  </si>
  <si>
    <t>ORD1003</t>
  </si>
  <si>
    <t>Rohan Gupta</t>
  </si>
  <si>
    <t>ORD1078</t>
  </si>
  <si>
    <t>Niharika Das</t>
  </si>
  <si>
    <t>ORD1047</t>
  </si>
  <si>
    <t>Kushal Das</t>
  </si>
  <si>
    <t>ORD1128</t>
  </si>
  <si>
    <t>Priyanka Roy</t>
  </si>
  <si>
    <t>ORD1113</t>
  </si>
  <si>
    <t>Ayush Roy</t>
  </si>
  <si>
    <t>ORD1091</t>
  </si>
  <si>
    <t>Aman Jain</t>
  </si>
  <si>
    <t>ORD1086</t>
  </si>
  <si>
    <t>Madhurima Sen</t>
  </si>
  <si>
    <t>ORD1142</t>
  </si>
  <si>
    <t>Nikita Sen</t>
  </si>
  <si>
    <t>ORD1037</t>
  </si>
  <si>
    <t>Sagnik Roy</t>
  </si>
  <si>
    <t>ORD1120</t>
  </si>
  <si>
    <t>Tania Ghosh</t>
  </si>
  <si>
    <t>ORD1062</t>
  </si>
  <si>
    <t>Meenakshi Roy</t>
  </si>
  <si>
    <t>ORD1023</t>
  </si>
  <si>
    <t>Rohan Sethi</t>
  </si>
  <si>
    <t>ORD1139</t>
  </si>
  <si>
    <t>Harsh Roy</t>
  </si>
  <si>
    <t xml:space="preserve">  ORD1112  </t>
  </si>
  <si>
    <t>Megha Dey</t>
  </si>
  <si>
    <t>ORD1034</t>
  </si>
  <si>
    <t>Megha Kapoor</t>
  </si>
  <si>
    <t>ORD1012</t>
  </si>
  <si>
    <t>Dev Malhotra</t>
  </si>
  <si>
    <t>ORD1168</t>
  </si>
  <si>
    <t>Megha Ghosh</t>
  </si>
  <si>
    <t>ORD1007</t>
  </si>
  <si>
    <t>Meera Iyer</t>
  </si>
  <si>
    <t>ORD1028</t>
  </si>
  <si>
    <t>Shruti Ghosh</t>
  </si>
  <si>
    <t>ORD1172</t>
  </si>
  <si>
    <t>Riya Banik</t>
  </si>
  <si>
    <t>ORD1145</t>
  </si>
  <si>
    <t>ABHISHEK SEN</t>
  </si>
  <si>
    <t xml:space="preserve">  ORD1005  </t>
  </si>
  <si>
    <t>Arjun Nair</t>
  </si>
  <si>
    <t>ORD1033</t>
  </si>
  <si>
    <t>Ritesh Saha</t>
  </si>
  <si>
    <t xml:space="preserve">  nan  </t>
  </si>
  <si>
    <t>Nandini Saha</t>
  </si>
  <si>
    <t>ORD1153</t>
  </si>
  <si>
    <t>Rohit Das</t>
  </si>
  <si>
    <t>ORD1121</t>
  </si>
  <si>
    <t>Arnav Roy</t>
  </si>
  <si>
    <t>ORD1195</t>
  </si>
  <si>
    <t>Rajiv Sen</t>
  </si>
  <si>
    <t>ORD1115</t>
  </si>
  <si>
    <t>Rajat Ghosh</t>
  </si>
  <si>
    <t>ORD1011</t>
  </si>
  <si>
    <t>Ananya Pal</t>
  </si>
  <si>
    <t>ORD1063</t>
  </si>
  <si>
    <t>Harshit Gupta</t>
  </si>
  <si>
    <t>ORD1149</t>
  </si>
  <si>
    <t>ORD1154</t>
  </si>
  <si>
    <t>Ishita Sen</t>
  </si>
  <si>
    <t>ORD1177</t>
  </si>
  <si>
    <t>Ritwik Das</t>
  </si>
  <si>
    <t>ORD1001</t>
  </si>
  <si>
    <t>Aarav Sharma</t>
  </si>
  <si>
    <t>ORD1190</t>
  </si>
  <si>
    <t>Ankita Sharma</t>
  </si>
  <si>
    <t>ORD1071</t>
  </si>
  <si>
    <t>Sumit Paul</t>
  </si>
  <si>
    <t>ORD1164</t>
  </si>
  <si>
    <t>Poulomi Das</t>
  </si>
  <si>
    <t>ORD1065</t>
  </si>
  <si>
    <t>Debojyoti Das</t>
  </si>
  <si>
    <t>ORD1045</t>
  </si>
  <si>
    <t>Ayan Mukherjee</t>
  </si>
  <si>
    <t>ORD1138</t>
  </si>
  <si>
    <t>Tanisha Gupta</t>
  </si>
  <si>
    <t>ORD1041</t>
  </si>
  <si>
    <t>Abir Choudhury</t>
  </si>
  <si>
    <t>ORD1124</t>
  </si>
  <si>
    <t>Neha Banerjee</t>
  </si>
  <si>
    <t>ORD1024</t>
  </si>
  <si>
    <t>Kriti Jain</t>
  </si>
  <si>
    <t>ORD1155</t>
  </si>
  <si>
    <t>Debayan Roy</t>
  </si>
  <si>
    <t>ORD1082</t>
  </si>
  <si>
    <t>Trina Mukherjee</t>
  </si>
  <si>
    <t>ORD1040</t>
  </si>
  <si>
    <t>Shreya Banik</t>
  </si>
  <si>
    <t>ORD1178</t>
  </si>
  <si>
    <t>Nikita Roy</t>
  </si>
  <si>
    <t>Suhani Ghosh</t>
  </si>
  <si>
    <t>ORD1095</t>
  </si>
  <si>
    <t>Tanmay Das</t>
  </si>
  <si>
    <t>ORD1162</t>
  </si>
  <si>
    <t>MITALI SEN</t>
  </si>
  <si>
    <t>ORD1044</t>
  </si>
  <si>
    <t>Monika Sen</t>
  </si>
  <si>
    <t>ORD1146</t>
  </si>
  <si>
    <t>Madhurima Roy</t>
  </si>
  <si>
    <t>ORD1004</t>
  </si>
  <si>
    <t>Neha Kapoor</t>
  </si>
  <si>
    <t>ORD1106</t>
  </si>
  <si>
    <t>Riya Banerjee</t>
  </si>
  <si>
    <t>ORD1054</t>
  </si>
  <si>
    <t>Neha Jain</t>
  </si>
  <si>
    <t>ORD1134</t>
  </si>
  <si>
    <t>MEGHA ROY</t>
  </si>
  <si>
    <t>ORD1191</t>
  </si>
  <si>
    <t>Sagnik Mukherjee</t>
  </si>
  <si>
    <t>ORD1165</t>
  </si>
  <si>
    <t>Sagnik Kapoor</t>
  </si>
  <si>
    <t>ORD1196</t>
  </si>
  <si>
    <t>Ishita Dey</t>
  </si>
  <si>
    <t>ORD1050</t>
  </si>
  <si>
    <t>Isha Kapoor</t>
  </si>
  <si>
    <t>ORD1081</t>
  </si>
  <si>
    <t>Ayush Banerjee</t>
  </si>
  <si>
    <t>ORD1035</t>
  </si>
  <si>
    <t>Arnav Bose</t>
  </si>
  <si>
    <t>ORD1008</t>
  </si>
  <si>
    <t>Sanjay Dutta</t>
  </si>
  <si>
    <t>ORD1111</t>
  </si>
  <si>
    <t>Sagnik Sen</t>
  </si>
  <si>
    <t>ORD1092</t>
  </si>
  <si>
    <t>Megha Banik</t>
  </si>
  <si>
    <t>ORD1084</t>
  </si>
  <si>
    <t>Neha Das</t>
  </si>
  <si>
    <t>ORD1187</t>
  </si>
  <si>
    <t>Kunal Das</t>
  </si>
  <si>
    <t>ORD1192</t>
  </si>
  <si>
    <t>Neha Ghosh</t>
  </si>
  <si>
    <t>ORD1090</t>
  </si>
  <si>
    <t>Ritika Sharma</t>
  </si>
  <si>
    <t>ORD1009</t>
  </si>
  <si>
    <t>Ishita Roy</t>
  </si>
  <si>
    <t>ORD1014</t>
  </si>
  <si>
    <t>Abhishek Roy</t>
  </si>
  <si>
    <t>ORD1060</t>
  </si>
  <si>
    <t>Priyanka Ghosh</t>
  </si>
  <si>
    <t>ORD1182</t>
  </si>
  <si>
    <t>Meenakshi Sen</t>
  </si>
  <si>
    <t>ORD1132</t>
  </si>
  <si>
    <t>Kabir Ghosh</t>
  </si>
  <si>
    <t xml:space="preserve">  ORD1018  </t>
  </si>
  <si>
    <t>Nikita Basu</t>
  </si>
  <si>
    <t>ORD1167</t>
  </si>
  <si>
    <t>Ayush Sen</t>
  </si>
  <si>
    <t>ORD1073</t>
  </si>
  <si>
    <t>Sagnik Chatterjee</t>
  </si>
  <si>
    <t>ORD1186</t>
  </si>
  <si>
    <t>ORD1135</t>
  </si>
  <si>
    <t>Sourav Jain</t>
  </si>
  <si>
    <t>ORD1176</t>
  </si>
  <si>
    <t>Priyanka Saha</t>
  </si>
  <si>
    <t>ORD1194</t>
  </si>
  <si>
    <t>ORD1064</t>
  </si>
  <si>
    <t>Ipsita Sen</t>
  </si>
  <si>
    <t>ORD1055</t>
  </si>
  <si>
    <t>Vivek Agarwal</t>
  </si>
  <si>
    <t>ORD1108</t>
  </si>
  <si>
    <t>Priya Das</t>
  </si>
  <si>
    <t>ORD1051</t>
  </si>
  <si>
    <t>Parth Sinha</t>
  </si>
  <si>
    <t>ORD1170</t>
  </si>
  <si>
    <t>Shruti Roy</t>
  </si>
  <si>
    <t>ORD1059</t>
  </si>
  <si>
    <t>Ankit Saha</t>
  </si>
  <si>
    <t>ORD1049</t>
  </si>
  <si>
    <t>Rajat Dutta</t>
  </si>
  <si>
    <t>ORD1089</t>
  </si>
  <si>
    <t>Sourav Saha</t>
  </si>
  <si>
    <t>ORD1022</t>
  </si>
  <si>
    <t>Diya Mukherjee</t>
  </si>
  <si>
    <t>ORD1058</t>
  </si>
  <si>
    <t>Snehal Roy</t>
  </si>
  <si>
    <t>ORD1161</t>
  </si>
  <si>
    <t>Arjun Dutta</t>
  </si>
  <si>
    <t>Kunal Agarwal</t>
  </si>
  <si>
    <t>ORD1130</t>
  </si>
  <si>
    <t>Ritwik Sen</t>
  </si>
  <si>
    <t>ORD1038</t>
  </si>
  <si>
    <t>Naina Verma</t>
  </si>
  <si>
    <t>ORD1158</t>
  </si>
  <si>
    <t>ORD1199</t>
  </si>
  <si>
    <t>Ayush Kapoor</t>
  </si>
  <si>
    <t>ORD1002</t>
  </si>
  <si>
    <t>Priya Sen</t>
  </si>
  <si>
    <t>Mouse</t>
  </si>
  <si>
    <t>ORD1053</t>
  </si>
  <si>
    <t>Sourav Roy</t>
  </si>
  <si>
    <t>ORD1150</t>
  </si>
  <si>
    <t>ORD1131</t>
  </si>
  <si>
    <t>Ananya Dutta</t>
  </si>
  <si>
    <t>ORD1152</t>
  </si>
  <si>
    <t>Neha Mukherjee</t>
  </si>
  <si>
    <t>ORD1104</t>
  </si>
  <si>
    <t>Mitali Roy</t>
  </si>
  <si>
    <t>ORD1100</t>
  </si>
  <si>
    <t>Nikita Pal</t>
  </si>
  <si>
    <t>ORD1117</t>
  </si>
  <si>
    <t>Abhinav Das</t>
  </si>
  <si>
    <t>ORD1088</t>
  </si>
  <si>
    <t>Priyanka Dey</t>
  </si>
  <si>
    <t>ORD1075</t>
  </si>
  <si>
    <t>Raj Mehta</t>
  </si>
  <si>
    <t>ORD1122</t>
  </si>
  <si>
    <t>ISHANI SEN</t>
  </si>
  <si>
    <t>ORD1021</t>
  </si>
  <si>
    <t>Manav Chatterjee</t>
  </si>
  <si>
    <t>ORD1189</t>
  </si>
  <si>
    <t>ORD1072</t>
  </si>
  <si>
    <t>Rhea Banik</t>
  </si>
  <si>
    <t>ORD1107</t>
  </si>
  <si>
    <t>Kunal Roy</t>
  </si>
  <si>
    <t>ORD1015</t>
  </si>
  <si>
    <t>Soumya Das</t>
  </si>
  <si>
    <t>ORD1093</t>
  </si>
  <si>
    <t>Arjun Roy</t>
  </si>
  <si>
    <t>ORD1180</t>
  </si>
  <si>
    <t>ORD1103</t>
  </si>
  <si>
    <t>Soham Dutta</t>
  </si>
  <si>
    <t>THE FOLLOWING TECHNIQUES ARE COVERED IN THIS EXCEL PROJECT</t>
  </si>
  <si>
    <t>TECHNIQUE</t>
  </si>
  <si>
    <t>COMMON PROBLEM</t>
  </si>
  <si>
    <t>EXCEL FUNCTIONS</t>
  </si>
  <si>
    <t>Remove duplicates</t>
  </si>
  <si>
    <t>Repeated rows inflate totals in pivot tables</t>
  </si>
  <si>
    <t>COUNTIF , Remove duplicates</t>
  </si>
  <si>
    <t>Various blank spaces</t>
  </si>
  <si>
    <t>There are many blank spaces in raw data</t>
  </si>
  <si>
    <t xml:space="preserve">IF , COUNTBLANK functions </t>
  </si>
  <si>
    <t>Steps to be followed:</t>
  </si>
  <si>
    <t xml:space="preserve">1.Open the raw data </t>
  </si>
  <si>
    <t xml:space="preserve">2.Study all columns and identify data issues </t>
  </si>
  <si>
    <t>3.Plan your cleaning like what , why and how</t>
  </si>
  <si>
    <t>4.Clean data as per procedure</t>
  </si>
  <si>
    <t xml:space="preserve">5.Build your dashboard </t>
  </si>
  <si>
    <t xml:space="preserve"> 6.Final submission</t>
  </si>
  <si>
    <t>Row Labels</t>
  </si>
  <si>
    <t>UNKNOWN</t>
  </si>
  <si>
    <t>Grand Total</t>
  </si>
  <si>
    <t>Sum of Profit</t>
  </si>
  <si>
    <t>Processing</t>
  </si>
  <si>
    <t>Count of Order_ID</t>
  </si>
  <si>
    <t>Sum of Units_Sold</t>
  </si>
  <si>
    <t>Sales Revenue Dashboard</t>
  </si>
  <si>
    <t>DATA CLEANING INSTRUCTIONS</t>
  </si>
  <si>
    <t>Sales Revenue Tracker System</t>
  </si>
  <si>
    <t>Welcome to our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</si>
</sst>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b/>
      <sz val="12"/>
      <color theme="1"/>
      <name val="Aptos Narrow"/>
      <family val="2"/>
      <scheme val="minor"/>
    </font>
    <font>
      <b/>
      <sz val="28"/>
      <color theme="1"/>
      <name val="Aptos Narrow"/>
      <family val="2"/>
      <scheme val="minor"/>
    </font>
    <font>
      <b/>
      <sz val="36"/>
      <color theme="1"/>
      <name val="Aptos Narrow"/>
      <family val="2"/>
      <scheme val="minor"/>
    </font>
    <font>
      <sz val="14"/>
      <color theme="1"/>
      <name val="Aptos Narrow"/>
      <family val="2"/>
      <scheme val="minor"/>
    </font>
    <font>
      <sz val="28"/>
      <color theme="1"/>
      <name val="Aptos Narrow"/>
      <family val="2"/>
      <scheme val="minor"/>
    </font>
    <font>
      <sz val="48"/>
      <color theme="1"/>
      <name val="Aptos Narrow"/>
      <family val="2"/>
      <scheme val="minor"/>
    </font>
    <font>
      <b/>
      <sz val="18"/>
      <color theme="1"/>
      <name val="Aptos Narrow"/>
      <family val="2"/>
      <scheme val="minor"/>
    </font>
    <font>
      <b/>
      <sz val="20"/>
      <color theme="1"/>
      <name val="Aptos Narrow"/>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9"/>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0">
    <xf numFmtId="0" fontId="0" fillId="0" borderId="0" xfId="0"/>
    <xf numFmtId="0" fontId="0" fillId="0" borderId="10" xfId="0" applyBorder="1"/>
    <xf numFmtId="0" fontId="0" fillId="0" borderId="10" xfId="0" applyFill="1" applyBorder="1"/>
    <xf numFmtId="0" fontId="0" fillId="0" borderId="0" xfId="0" applyBorder="1"/>
    <xf numFmtId="0" fontId="0" fillId="34" borderId="0" xfId="0" applyFill="1"/>
    <xf numFmtId="0" fontId="22" fillId="0" borderId="0" xfId="0" applyFont="1" applyBorder="1"/>
    <xf numFmtId="0" fontId="0" fillId="0" borderId="0" xfId="0" pivotButton="1"/>
    <xf numFmtId="0" fontId="0" fillId="0" borderId="0" xfId="0" applyAlignment="1">
      <alignment horizontal="left"/>
    </xf>
    <xf numFmtId="0" fontId="0" fillId="0" borderId="0" xfId="0" applyNumberFormat="1"/>
    <xf numFmtId="0" fontId="23" fillId="0" borderId="0" xfId="0" applyFont="1" applyAlignment="1">
      <alignment horizontal="center" wrapText="1"/>
    </xf>
    <xf numFmtId="0" fontId="22" fillId="0" borderId="0" xfId="0" applyFont="1" applyBorder="1" applyAlignment="1">
      <alignment horizontal="left"/>
    </xf>
    <xf numFmtId="0" fontId="22" fillId="0" borderId="0" xfId="0" applyFont="1" applyBorder="1" applyAlignment="1">
      <alignment horizontal="left" wrapText="1"/>
    </xf>
    <xf numFmtId="0" fontId="18" fillId="0" borderId="10" xfId="0" applyFont="1" applyBorder="1" applyAlignment="1">
      <alignment horizontal="center" wrapText="1"/>
    </xf>
    <xf numFmtId="0" fontId="18" fillId="0" borderId="10" xfId="0" applyFont="1" applyBorder="1" applyAlignment="1">
      <alignment horizontal="center"/>
    </xf>
    <xf numFmtId="0" fontId="22" fillId="0" borderId="10" xfId="0" applyFont="1" applyBorder="1" applyAlignment="1">
      <alignment horizontal="center"/>
    </xf>
    <xf numFmtId="0" fontId="0" fillId="0" borderId="10" xfId="0" applyBorder="1" applyAlignment="1">
      <alignment horizontal="center" wrapText="1"/>
    </xf>
    <xf numFmtId="0" fontId="20" fillId="33" borderId="0" xfId="0" applyFont="1" applyFill="1" applyAlignment="1">
      <alignment horizontal="center"/>
    </xf>
    <xf numFmtId="0" fontId="0" fillId="33" borderId="0" xfId="0" applyFill="1" applyAlignment="1">
      <alignment horizontal="center"/>
    </xf>
    <xf numFmtId="0" fontId="19" fillId="0" borderId="0" xfId="0" applyFont="1" applyAlignment="1">
      <alignment horizontal="center" wrapText="1"/>
    </xf>
    <xf numFmtId="0" fontId="18" fillId="0" borderId="0" xfId="0" applyFont="1" applyAlignment="1">
      <alignment horizontal="center" wrapText="1"/>
    </xf>
    <xf numFmtId="0" fontId="19" fillId="33" borderId="10" xfId="0" applyFont="1" applyFill="1" applyBorder="1" applyAlignment="1">
      <alignment horizontal="center"/>
    </xf>
    <xf numFmtId="0" fontId="21" fillId="35" borderId="0" xfId="0" applyFont="1" applyFill="1" applyAlignment="1">
      <alignment horizontal="center"/>
    </xf>
    <xf numFmtId="0" fontId="0" fillId="35" borderId="0" xfId="0" applyFill="1" applyAlignment="1">
      <alignment horizontal="center"/>
    </xf>
    <xf numFmtId="0" fontId="0" fillId="0" borderId="0" xfId="0" applyAlignment="1">
      <alignment horizontal="center"/>
    </xf>
    <xf numFmtId="0" fontId="0" fillId="0" borderId="0" xfId="0" applyAlignment="1">
      <alignment horizontal="center"/>
    </xf>
    <xf numFmtId="0" fontId="24" fillId="36" borderId="0" xfId="0" applyFont="1" applyFill="1" applyAlignment="1">
      <alignment horizontal="center"/>
    </xf>
    <xf numFmtId="0" fontId="0" fillId="37" borderId="0" xfId="0" applyFill="1" applyAlignment="1">
      <alignment horizontal="center"/>
    </xf>
    <xf numFmtId="0" fontId="23" fillId="37" borderId="0" xfId="0" applyFont="1" applyFill="1" applyAlignment="1">
      <alignment horizontal="center"/>
    </xf>
    <xf numFmtId="0" fontId="25" fillId="0" borderId="0" xfId="0" applyFont="1" applyAlignment="1">
      <alignment horizontal="center"/>
    </xf>
    <xf numFmtId="0" fontId="0" fillId="38" borderId="10" xfId="0"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3.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Tracker.xlsm]Revenue by chatagory!PivotTable1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 by chatagory'!$B$3</c:f>
              <c:strCache>
                <c:ptCount val="1"/>
                <c:pt idx="0">
                  <c:v>Total</c:v>
                </c:pt>
              </c:strCache>
            </c:strRef>
          </c:tx>
          <c:spPr>
            <a:solidFill>
              <a:schemeClr val="accent1"/>
            </a:solidFill>
            <a:ln>
              <a:noFill/>
            </a:ln>
            <a:effectLst/>
            <a:sp3d/>
          </c:spPr>
          <c:invertIfNegative val="0"/>
          <c:cat>
            <c:strRef>
              <c:f>'Revenue by chatagory'!$A$4:$A$8</c:f>
              <c:strCache>
                <c:ptCount val="4"/>
                <c:pt idx="0">
                  <c:v>Electronics</c:v>
                </c:pt>
                <c:pt idx="1">
                  <c:v>Furniture</c:v>
                </c:pt>
                <c:pt idx="2">
                  <c:v>Stationery</c:v>
                </c:pt>
                <c:pt idx="3">
                  <c:v>UNKNOWN</c:v>
                </c:pt>
              </c:strCache>
            </c:strRef>
          </c:cat>
          <c:val>
            <c:numRef>
              <c:f>'Revenue by chatagory'!$B$4:$B$8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14D0-4541-9CB5-D2390DB2E8EA}"/>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Tracker.xlsm]Delivery Status by Oder ID!PivotTable2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 Status by Oder ID'!$B$3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 Status by Oder ID'!$A$4:$A$7</c:f>
              <c:strCache>
                <c:ptCount val="3"/>
                <c:pt idx="0">
                  <c:v>Delivered</c:v>
                </c:pt>
                <c:pt idx="1">
                  <c:v>Pending</c:v>
                </c:pt>
                <c:pt idx="2">
                  <c:v>Processing</c:v>
                </c:pt>
              </c:strCache>
            </c:strRef>
          </c:cat>
          <c:val>
            <c:numRef>
              <c:f>'Delivery Status by Oder ID'!$B$4:$B$7</c:f>
              <c:numCache>
                <c:formatCode>General</c:formatCode>
                <c:ptCount val="3"/>
                <c:pt idx="0">
                  <c:v>50</c:v>
                </c:pt>
                <c:pt idx="1">
                  <c:v>9</c:v>
                </c:pt>
                <c:pt idx="2">
                  <c:v>5</c:v>
                </c:pt>
              </c:numCache>
            </c:numRef>
          </c:val>
          <c:extLst>
            <c:ext xmlns:c16="http://schemas.microsoft.com/office/drawing/2014/chart" uri="{C3380CC4-5D6E-409C-BE32-E72D297353CC}">
              <c16:uniqueId val="{00000000-BC7A-4829-98FB-DBDA2F8FE39B}"/>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Tracker.xlsm]Region vs quantity!PivotTable3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 vs quantity'!$B$3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60F-4F81-B1CF-8B40B09266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60F-4F81-B1CF-8B40B09266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60F-4F81-B1CF-8B40B09266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60F-4F81-B1CF-8B40B09266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 vs quantity'!$A$4:$A$8</c:f>
              <c:strCache>
                <c:ptCount val="4"/>
                <c:pt idx="0">
                  <c:v>East</c:v>
                </c:pt>
                <c:pt idx="1">
                  <c:v>North</c:v>
                </c:pt>
                <c:pt idx="2">
                  <c:v>South</c:v>
                </c:pt>
                <c:pt idx="3">
                  <c:v>West</c:v>
                </c:pt>
              </c:strCache>
            </c:strRef>
          </c:cat>
          <c:val>
            <c:numRef>
              <c:f>'Region vs quantity'!$B$4:$B$8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0-F709-4A29-9C00-113902A5FDAD}"/>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Tracker.xlsm]Region vs quantity!PivotTable3</c:name>
    <c:fmtId val="1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111111111111108E-2"/>
          <c:y val="0.25347003499562554"/>
          <c:w val="0.80347222222222225"/>
          <c:h val="0.66319663167104115"/>
        </c:manualLayout>
      </c:layout>
      <c:pie3DChart>
        <c:varyColors val="1"/>
        <c:ser>
          <c:idx val="0"/>
          <c:order val="0"/>
          <c:tx>
            <c:strRef>
              <c:f>'Region vs quantity'!$B$3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1F16-400C-8FC9-09CBE81ED638}"/>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1F16-400C-8FC9-09CBE81ED638}"/>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1F16-400C-8FC9-09CBE81ED638}"/>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1F16-400C-8FC9-09CBE81ED63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 vs quantity'!$A$4:$A$8</c:f>
              <c:strCache>
                <c:ptCount val="4"/>
                <c:pt idx="0">
                  <c:v>East</c:v>
                </c:pt>
                <c:pt idx="1">
                  <c:v>North</c:v>
                </c:pt>
                <c:pt idx="2">
                  <c:v>South</c:v>
                </c:pt>
                <c:pt idx="3">
                  <c:v>West</c:v>
                </c:pt>
              </c:strCache>
            </c:strRef>
          </c:cat>
          <c:val>
            <c:numRef>
              <c:f>'Region vs quantity'!$B$4:$B$8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8-1F16-400C-8FC9-09CBE81ED638}"/>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Tracker.xlsm]Delivery Status by Oder ID!PivotTable2</c:name>
    <c:fmtId val="1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 Status by Oder ID'!$B$3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 Status by Oder ID'!$A$4:$A$7</c:f>
              <c:strCache>
                <c:ptCount val="3"/>
                <c:pt idx="0">
                  <c:v>Delivered</c:v>
                </c:pt>
                <c:pt idx="1">
                  <c:v>Pending</c:v>
                </c:pt>
                <c:pt idx="2">
                  <c:v>Processing</c:v>
                </c:pt>
              </c:strCache>
            </c:strRef>
          </c:cat>
          <c:val>
            <c:numRef>
              <c:f>'Delivery Status by Oder ID'!$B$4:$B$7</c:f>
              <c:numCache>
                <c:formatCode>General</c:formatCode>
                <c:ptCount val="3"/>
                <c:pt idx="0">
                  <c:v>50</c:v>
                </c:pt>
                <c:pt idx="1">
                  <c:v>9</c:v>
                </c:pt>
                <c:pt idx="2">
                  <c:v>5</c:v>
                </c:pt>
              </c:numCache>
            </c:numRef>
          </c:val>
          <c:extLst>
            <c:ext xmlns:c16="http://schemas.microsoft.com/office/drawing/2014/chart" uri="{C3380CC4-5D6E-409C-BE32-E72D297353CC}">
              <c16:uniqueId val="{00000000-4B92-4701-96C8-A058B0626CE2}"/>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Tracker.xlsm]Revenue by chatagory!PivotTable1</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 by chatagory'!$B$3</c:f>
              <c:strCache>
                <c:ptCount val="1"/>
                <c:pt idx="0">
                  <c:v>Total</c:v>
                </c:pt>
              </c:strCache>
            </c:strRef>
          </c:tx>
          <c:spPr>
            <a:solidFill>
              <a:schemeClr val="accent1"/>
            </a:solidFill>
            <a:ln>
              <a:noFill/>
            </a:ln>
            <a:effectLst/>
            <a:sp3d/>
          </c:spPr>
          <c:invertIfNegative val="0"/>
          <c:cat>
            <c:strRef>
              <c:f>'Revenue by chatagory'!$A$4:$A$8</c:f>
              <c:strCache>
                <c:ptCount val="4"/>
                <c:pt idx="0">
                  <c:v>Electronics</c:v>
                </c:pt>
                <c:pt idx="1">
                  <c:v>Furniture</c:v>
                </c:pt>
                <c:pt idx="2">
                  <c:v>Stationery</c:v>
                </c:pt>
                <c:pt idx="3">
                  <c:v>UNKNOWN</c:v>
                </c:pt>
              </c:strCache>
            </c:strRef>
          </c:cat>
          <c:val>
            <c:numRef>
              <c:f>'Revenue by chatagory'!$B$4:$B$8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B9DA-4CCB-9720-33A6EA69CA6C}"/>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hyperlink" Target="https://svgsilh.com/f44336/image/1704073.html" TargetMode="External"/><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7620</xdr:colOff>
      <xdr:row>3</xdr:row>
      <xdr:rowOff>99060</xdr:rowOff>
    </xdr:from>
    <xdr:to>
      <xdr:col>10</xdr:col>
      <xdr:colOff>312420</xdr:colOff>
      <xdr:row>18</xdr:row>
      <xdr:rowOff>99060</xdr:rowOff>
    </xdr:to>
    <xdr:graphicFrame macro="">
      <xdr:nvGraphicFramePr>
        <xdr:cNvPr id="3" name="Chart 2">
          <a:extLst>
            <a:ext uri="{FF2B5EF4-FFF2-40B4-BE49-F238E27FC236}">
              <a16:creationId xmlns:a16="http://schemas.microsoft.com/office/drawing/2014/main" id="{6D9E03B6-FB3B-D3A8-DB0F-B69876F61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350520</xdr:colOff>
      <xdr:row>3</xdr:row>
      <xdr:rowOff>83820</xdr:rowOff>
    </xdr:from>
    <xdr:to>
      <xdr:col>13</xdr:col>
      <xdr:colOff>350520</xdr:colOff>
      <xdr:row>17</xdr:row>
      <xdr:rowOff>104775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8570728D-DFCE-2E6E-0E14-01547E4936A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73240" y="6324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358140</xdr:colOff>
      <xdr:row>1</xdr:row>
      <xdr:rowOff>167640</xdr:rowOff>
    </xdr:from>
    <xdr:to>
      <xdr:col>10</xdr:col>
      <xdr:colOff>53340</xdr:colOff>
      <xdr:row>16</xdr:row>
      <xdr:rowOff>167640</xdr:rowOff>
    </xdr:to>
    <xdr:graphicFrame macro="">
      <xdr:nvGraphicFramePr>
        <xdr:cNvPr id="2" name="Chart 1">
          <a:extLst>
            <a:ext uri="{FF2B5EF4-FFF2-40B4-BE49-F238E27FC236}">
              <a16:creationId xmlns:a16="http://schemas.microsoft.com/office/drawing/2014/main" id="{7785B48A-22F6-FF04-5151-2C01D8DE3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289560</xdr:colOff>
      <xdr:row>1</xdr:row>
      <xdr:rowOff>152400</xdr:rowOff>
    </xdr:from>
    <xdr:to>
      <xdr:col>13</xdr:col>
      <xdr:colOff>289560</xdr:colOff>
      <xdr:row>15</xdr:row>
      <xdr:rowOff>173355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3CEBA60-6C58-57A6-03B6-DA360CCAF51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866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5</xdr:row>
      <xdr:rowOff>83820</xdr:rowOff>
    </xdr:from>
    <xdr:to>
      <xdr:col>11</xdr:col>
      <xdr:colOff>266700</xdr:colOff>
      <xdr:row>20</xdr:row>
      <xdr:rowOff>83820</xdr:rowOff>
    </xdr:to>
    <xdr:graphicFrame macro="">
      <xdr:nvGraphicFramePr>
        <xdr:cNvPr id="3" name="Chart 2">
          <a:extLst>
            <a:ext uri="{FF2B5EF4-FFF2-40B4-BE49-F238E27FC236}">
              <a16:creationId xmlns:a16="http://schemas.microsoft.com/office/drawing/2014/main" id="{2D08AF19-8F8D-2C0E-BCBB-CB975DB65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373380</xdr:colOff>
      <xdr:row>5</xdr:row>
      <xdr:rowOff>160020</xdr:rowOff>
    </xdr:from>
    <xdr:to>
      <xdr:col>14</xdr:col>
      <xdr:colOff>373380</xdr:colOff>
      <xdr:row>19</xdr:row>
      <xdr:rowOff>180975</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DB390FA-4020-B8B6-200E-9E194BBC2A3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810500" y="10744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91440</xdr:colOff>
      <xdr:row>4</xdr:row>
      <xdr:rowOff>0</xdr:rowOff>
    </xdr:from>
    <xdr:to>
      <xdr:col>10</xdr:col>
      <xdr:colOff>396240</xdr:colOff>
      <xdr:row>19</xdr:row>
      <xdr:rowOff>0</xdr:rowOff>
    </xdr:to>
    <xdr:graphicFrame macro="">
      <xdr:nvGraphicFramePr>
        <xdr:cNvPr id="2" name="Chart 1">
          <a:extLst>
            <a:ext uri="{FF2B5EF4-FFF2-40B4-BE49-F238E27FC236}">
              <a16:creationId xmlns:a16="http://schemas.microsoft.com/office/drawing/2014/main" id="{BDD0E696-5101-41E6-B3C0-3AB03047AE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53340</xdr:colOff>
      <xdr:row>3</xdr:row>
      <xdr:rowOff>175260</xdr:rowOff>
    </xdr:from>
    <xdr:to>
      <xdr:col>3</xdr:col>
      <xdr:colOff>106680</xdr:colOff>
      <xdr:row>18</xdr:row>
      <xdr:rowOff>175259</xdr:rowOff>
    </xdr:to>
    <mc:AlternateContent xmlns:mc="http://schemas.openxmlformats.org/markup-compatibility/2006">
      <mc:Choice xmlns:a14="http://schemas.microsoft.com/office/drawing/2010/main" Requires="a14">
        <xdr:graphicFrame macro="">
          <xdr:nvGraphicFramePr>
            <xdr:cNvPr id="3" name="Category 2">
              <a:extLst>
                <a:ext uri="{FF2B5EF4-FFF2-40B4-BE49-F238E27FC236}">
                  <a16:creationId xmlns:a16="http://schemas.microsoft.com/office/drawing/2014/main" id="{7D2D64C8-80EB-44F2-802F-542BDE89E087}"/>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53340" y="723900"/>
              <a:ext cx="1882140" cy="2743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114300</xdr:colOff>
      <xdr:row>19</xdr:row>
      <xdr:rowOff>106680</xdr:rowOff>
    </xdr:from>
    <xdr:to>
      <xdr:col>10</xdr:col>
      <xdr:colOff>419100</xdr:colOff>
      <xdr:row>34</xdr:row>
      <xdr:rowOff>106680</xdr:rowOff>
    </xdr:to>
    <xdr:graphicFrame macro="">
      <xdr:nvGraphicFramePr>
        <xdr:cNvPr id="4" name="Chart 3">
          <a:extLst>
            <a:ext uri="{FF2B5EF4-FFF2-40B4-BE49-F238E27FC236}">
              <a16:creationId xmlns:a16="http://schemas.microsoft.com/office/drawing/2014/main" id="{18581142-42D6-4550-B4E0-6765C2FC1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60960</xdr:colOff>
      <xdr:row>19</xdr:row>
      <xdr:rowOff>114300</xdr:rowOff>
    </xdr:from>
    <xdr:to>
      <xdr:col>3</xdr:col>
      <xdr:colOff>60960</xdr:colOff>
      <xdr:row>34</xdr:row>
      <xdr:rowOff>106680</xdr:rowOff>
    </xdr:to>
    <mc:AlternateContent xmlns:mc="http://schemas.openxmlformats.org/markup-compatibility/2006">
      <mc:Choice xmlns:a14="http://schemas.microsoft.com/office/drawing/2010/main" Requires="a14">
        <xdr:graphicFrame macro="">
          <xdr:nvGraphicFramePr>
            <xdr:cNvPr id="5" name="Category 3">
              <a:extLst>
                <a:ext uri="{FF2B5EF4-FFF2-40B4-BE49-F238E27FC236}">
                  <a16:creationId xmlns:a16="http://schemas.microsoft.com/office/drawing/2014/main" id="{AA993774-4123-4B07-BC39-28E7EB862173}"/>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dr:sp macro="" textlink="">
          <xdr:nvSpPr>
            <xdr:cNvPr id="0" name=""/>
            <xdr:cNvSpPr>
              <a:spLocks noTextEdit="1"/>
            </xdr:cNvSpPr>
          </xdr:nvSpPr>
          <xdr:spPr>
            <a:xfrm>
              <a:off x="60960" y="3589020"/>
              <a:ext cx="182880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304800</xdr:colOff>
      <xdr:row>4</xdr:row>
      <xdr:rowOff>0</xdr:rowOff>
    </xdr:from>
    <xdr:to>
      <xdr:col>19</xdr:col>
      <xdr:colOff>0</xdr:colOff>
      <xdr:row>19</xdr:row>
      <xdr:rowOff>0</xdr:rowOff>
    </xdr:to>
    <xdr:graphicFrame macro="">
      <xdr:nvGraphicFramePr>
        <xdr:cNvPr id="6" name="Chart 5">
          <a:extLst>
            <a:ext uri="{FF2B5EF4-FFF2-40B4-BE49-F238E27FC236}">
              <a16:creationId xmlns:a16="http://schemas.microsoft.com/office/drawing/2014/main" id="{F12F6897-EF01-45DE-8F80-93411AAA1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0</xdr:colOff>
      <xdr:row>4</xdr:row>
      <xdr:rowOff>0</xdr:rowOff>
    </xdr:from>
    <xdr:to>
      <xdr:col>23</xdr:col>
      <xdr:colOff>7620</xdr:colOff>
      <xdr:row>18</xdr:row>
      <xdr:rowOff>182879</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D7ECAFDF-A2B4-4C18-AF7E-78BDA528BE5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582400" y="731520"/>
              <a:ext cx="2446020" cy="2743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15</xdr:col>
          <xdr:colOff>426720</xdr:colOff>
          <xdr:row>24</xdr:row>
          <xdr:rowOff>45720</xdr:rowOff>
        </xdr:from>
        <xdr:to>
          <xdr:col>17</xdr:col>
          <xdr:colOff>0</xdr:colOff>
          <xdr:row>27</xdr:row>
          <xdr:rowOff>99060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Back to 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0</xdr:colOff>
      <xdr:row>36</xdr:row>
      <xdr:rowOff>0</xdr:rowOff>
    </xdr:from>
    <xdr:to>
      <xdr:col>29</xdr:col>
      <xdr:colOff>457200</xdr:colOff>
      <xdr:row>64</xdr:row>
      <xdr:rowOff>174791</xdr:rowOff>
    </xdr:to>
    <xdr:pic>
      <xdr:nvPicPr>
        <xdr:cNvPr id="6" name="Graphic 5">
          <a:extLst>
            <a:ext uri="{FF2B5EF4-FFF2-40B4-BE49-F238E27FC236}">
              <a16:creationId xmlns:a16="http://schemas.microsoft.com/office/drawing/2014/main" id="{788EBF96-6356-DEB2-398B-55884FE82A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 uri="{837473B0-CC2E-450A-ABE3-18F120FF3D39}">
              <a1611:picAttrSrcUrl xmlns:a1611="http://schemas.microsoft.com/office/drawing/2016/11/main" r:id="rId3"/>
            </a:ext>
          </a:extLst>
        </a:blip>
        <a:stretch>
          <a:fillRect/>
        </a:stretch>
      </xdr:blipFill>
      <xdr:spPr>
        <a:xfrm>
          <a:off x="10363200" y="6583680"/>
          <a:ext cx="7772400" cy="5295431"/>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304801</xdr:colOff>
          <xdr:row>43</xdr:row>
          <xdr:rowOff>9797</xdr:rowOff>
        </xdr:from>
        <xdr:to>
          <xdr:col>11</xdr:col>
          <xdr:colOff>217715</xdr:colOff>
          <xdr:row>45</xdr:row>
          <xdr:rowOff>119743</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800" b="1"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47</xdr:row>
          <xdr:rowOff>160020</xdr:rowOff>
        </xdr:from>
        <xdr:to>
          <xdr:col>11</xdr:col>
          <xdr:colOff>236220</xdr:colOff>
          <xdr:row>50</xdr:row>
          <xdr:rowOff>83820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2000" b="1" i="0" u="none" strike="noStrike" baseline="0">
                  <a:solidFill>
                    <a:srgbClr val="000000"/>
                  </a:solidFill>
                  <a:latin typeface="Aptos Narrow"/>
                </a:rPr>
                <a:t>Data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293915</xdr:colOff>
          <xdr:row>53</xdr:row>
          <xdr:rowOff>13063</xdr:rowOff>
        </xdr:from>
        <xdr:to>
          <xdr:col>11</xdr:col>
          <xdr:colOff>194855</xdr:colOff>
          <xdr:row>56</xdr:row>
          <xdr:rowOff>142603</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2000" b="1" i="0" u="none" strike="noStrike" baseline="0">
                  <a:solidFill>
                    <a:srgbClr val="000000"/>
                  </a:solidFill>
                  <a:latin typeface="Aptos Narrow"/>
                </a:rPr>
                <a:t>Instruction page</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1.84078564815" backgroundQuery="1" createdVersion="8" refreshedVersion="8" minRefreshableVersion="3" recordCount="0" supportSubquery="1" supportAdvancedDrill="1" xr:uid="{17FEB7F2-A56B-4C30-8182-F56F8FBC0647}">
  <cacheSource type="external" connectionId="1"/>
  <cacheFields count="4">
    <cacheField name="[Range].[Order_Status].[Order_Status]" caption="Order_Status" numFmtId="0" hierarchy="13" level="1">
      <sharedItems count="3">
        <s v="Delivered"/>
        <s v="Pending"/>
        <s v="Processing"/>
      </sharedItems>
    </cacheField>
    <cacheField name="[Measures].[Count of Order_ID]" caption="Count of Order_ID" numFmtId="0" hierarchy="17" level="32767"/>
    <cacheField name="[Range].[Order_ID].[Order_ID]" caption="Order_ID" numFmtId="0" level="1">
      <sharedItems containsSemiMixedTypes="0" containsNonDate="0" containsString="0"/>
    </cacheField>
    <cacheField name="[Range].[Category].[Category]" caption="Category" numFmtId="0" hierarchy="3" level="1">
      <sharedItems containsSemiMixedTypes="0" containsNonDate="0" containsString="0"/>
    </cacheField>
  </cacheFields>
  <cacheHierarchies count="20">
    <cacheHierarchy uniqueName="[Range].[Order_ID]" caption="Order_ID" attribute="1" defaultMemberUniqueName="[Range].[Order_ID].[All]" allUniqueName="[Range].[Order_ID].[All]" dimensionUniqueName="[Range]" displayFolder="" count="2" memberValueDatatype="130" unbalanced="0">
      <fieldsUsage count="2">
        <fieldUsage x="-1"/>
        <fieldUsage x="2"/>
      </fieldsUsage>
    </cacheHierarchy>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1.861634953704" backgroundQuery="1" createdVersion="8" refreshedVersion="8" minRefreshableVersion="3" recordCount="0" supportSubquery="1" supportAdvancedDrill="1" xr:uid="{EA540552-CAC2-40BD-94DC-25354082A253}">
  <cacheSource type="external" connectionId="1"/>
  <cacheFields count="3">
    <cacheField name="[Range].[Category].[Category]" caption="Category" numFmtId="0" hierarchy="3" level="1">
      <sharedItems count="4">
        <s v="Electronics"/>
        <s v="Furniture"/>
        <s v="Stationery"/>
        <s v="UNKNOWN"/>
      </sharedItems>
    </cacheField>
    <cacheField name="[Measures].[Sum of Profit]" caption="Sum of Profit" numFmtId="0" hierarchy="16" level="32767"/>
    <cacheField name="[Range].[Region].[Region]" caption="Region" numFmtId="0" hierarchy="4" level="1">
      <sharedItems containsSemiMixedTypes="0" containsNonDate="0" containsString="0"/>
    </cacheField>
  </cacheFields>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1.875571759258" backgroundQuery="1" createdVersion="8" refreshedVersion="8" minRefreshableVersion="3" recordCount="0" supportSubquery="1" supportAdvancedDrill="1" xr:uid="{06F088CA-0FAA-4886-AD16-03FC6C8F04D1}">
  <cacheSource type="external" connectionId="1"/>
  <cacheFields count="4">
    <cacheField name="[Range].[Region].[Region]" caption="Region" numFmtId="0" hierarchy="4" level="1">
      <sharedItems count="4">
        <s v="East"/>
        <s v="North"/>
        <s v="South"/>
        <s v="West"/>
      </sharedItems>
    </cacheField>
    <cacheField name="[Measures].[Sum of Units_Sold]" caption="Sum of Units_Sold" numFmtId="0" hierarchy="18" level="32767"/>
    <cacheField name="[Range].[Category].[Category]" caption="Category" numFmtId="0" hierarchy="3" level="1">
      <sharedItems containsSemiMixedTypes="0" containsNonDate="0" containsString="0"/>
    </cacheField>
    <cacheField name="[Range].[Salesperson].[Salesperson]" caption="Salesperson" numFmtId="0" hierarchy="5" level="1">
      <sharedItems containsSemiMixedTypes="0" containsNonDate="0" containsString="0"/>
    </cacheField>
  </cacheFields>
  <cacheHierarchies count="20">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2" memberValueDatatype="13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person]" caption="Salesperson" attribute="1" defaultMemberUniqueName="[Range].[Salesperson].[All]" allUniqueName="[Range].[Salesperson].[All]" dimensionUniqueName="[Range]" displayFolder="" count="2" memberValueDatatype="130" unbalanced="0">
      <fieldsUsage count="2">
        <fieldUsage x="-1"/>
        <fieldUsage x="3"/>
      </fieldsUsage>
    </cacheHierarchy>
    <cacheHierarchy uniqueName="[Range].[Units_Sold]" caption="Units_Sold" attribute="1" defaultMemberUniqueName="[Range].[Units_Sold].[All]" allUniqueName="[Range].[Units_Sold].[All]" dimensionUniqueName="[Range]" displayFolder="" count="2" memberValueDatatype="20" unbalanced="0"/>
    <cacheHierarchy uniqueName="[Range].[Unit_Price]" caption="Unit_Price" attribute="1" defaultMemberUniqueName="[Range].[Unit_Price].[All]" allUniqueName="[Range].[Unit_Price].[All]" dimensionUniqueName="[Range]" displayFolder="" count="2"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2"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2"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1.806824074076" backgroundQuery="1" createdVersion="3" refreshedVersion="8" minRefreshableVersion="3" recordCount="0" supportSubquery="1" supportAdvancedDrill="1" xr:uid="{3C54BAB7-5EFA-4801-9F85-904449D7323F}">
  <cacheSource type="external" connectionId="1">
    <extLst>
      <ext xmlns:x14="http://schemas.microsoft.com/office/spreadsheetml/2009/9/main" uri="{F057638F-6D5F-4e77-A914-E7F072B9BCA8}">
        <x14:sourceConnection name="ThisWorkbookDataModel"/>
      </ext>
    </extLst>
  </cacheSource>
  <cacheFields count="0"/>
  <cacheHierarchies count="17">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2"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85104805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8336D-F6CD-4B48-92B7-E9F157E4EE8A}"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multipleItemSelectionAllowed="1" dragToData="1">
      <members count="1" level="1">
        <member name="[Range].[Region].&amp;[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CFEBB8-A6C9-4CDC-B6C6-F2846E01DF78}"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7"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20">
    <pivotHierarchy multipleItemSelectionAllowed="1" dragToData="1">
      <members count="1" level="1">
        <member name="[Range].[Order_ID].&amp;[  nan]"/>
      </members>
    </pivotHierarchy>
    <pivotHierarchy dragToData="1"/>
    <pivotHierarchy dragToData="1"/>
    <pivotHierarchy multipleItemSelectionAllowed="1" dragToData="1">
      <members count="1" level="1">
        <member name="[Range].[Category].&amp;[Furnitu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1D31E-461A-4245-AF4F-AA7CB586D8DF}" name="PivotTable3"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8"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Units_Sold" fld="1" baseField="0" baseItem="0"/>
  </dataFields>
  <chartFormats count="10">
    <chartFormat chart="1" format="0"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0" count="1" selected="0">
            <x v="0"/>
          </reference>
        </references>
      </pivotArea>
    </chartFormat>
    <chartFormat chart="11" format="8">
      <pivotArea type="data" outline="0" fieldPosition="0">
        <references count="2">
          <reference field="4294967294" count="1" selected="0">
            <x v="0"/>
          </reference>
          <reference field="0" count="1" selected="0">
            <x v="1"/>
          </reference>
        </references>
      </pivotArea>
    </chartFormat>
    <chartFormat chart="11" format="9">
      <pivotArea type="data" outline="0" fieldPosition="0">
        <references count="2">
          <reference field="4294967294" count="1" selected="0">
            <x v="0"/>
          </reference>
          <reference field="0" count="1" selected="0">
            <x v="2"/>
          </reference>
        </references>
      </pivotArea>
    </chartFormat>
    <chartFormat chart="11" format="10">
      <pivotArea type="data" outline="0" fieldPosition="0">
        <references count="2">
          <reference field="4294967294" count="1" selected="0">
            <x v="0"/>
          </reference>
          <reference field="0" count="1" selected="0">
            <x v="3"/>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s>
  <pivotHierarchies count="20">
    <pivotHierarchy dragToData="1"/>
    <pivotHierarchy dragToData="1"/>
    <pivotHierarchy dragToData="1"/>
    <pivotHierarchy multipleItemSelectionAllowed="1" dragToData="1">
      <members count="1" level="1">
        <member name="[Range].[Category].&amp;[Stationery]"/>
      </members>
    </pivotHierarchy>
    <pivotHierarchy dragToData="1"/>
    <pivotHierarchy multipleItemSelectionAllowed="1" dragToData="1">
      <members count="1" level="1">
        <member name="[Range].[Salesperson].&amp;[Amit Paul]"/>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1ED090-E725-41F8-AAD8-6569BFDBCD01}" sourceName="[Range].[Region]">
  <pivotTables>
    <pivotTable tabId="9" name="PivotTable1"/>
  </pivotTables>
  <data>
    <olap pivotCacheId="851048051">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mp;[Ea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6439B62-CDEF-4160-8DB9-DF23586BB819}" sourceName="[Range].[Category]">
  <pivotTables>
    <pivotTable tabId="10" name="PivotTable2"/>
  </pivotTables>
  <data>
    <olap pivotCacheId="851048051">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Furnitur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7E69DC8-F593-4179-B97C-E824C111488E}" sourceName="[Range].[Category]">
  <pivotTables>
    <pivotTable tabId="11" name="PivotTable3"/>
  </pivotTables>
  <data>
    <olap pivotCacheId="851048051">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Stationery]"/>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85FF51-8F6B-4244-A8D3-F4FA02DAE7B4}" cache="Slicer_Region" caption="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88DA4E-BB4F-4C92-A8A5-A691BA0760B3}" cache="Slicer_Category" caption="Category"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07C558B-EDEA-4B2C-9BA6-31F445C04A46}" cache="Slicer_Category1" caption="Categor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629CF16-2FDE-4CB1-A079-FE456AEF139C}" cache="Slicer_Region" caption="Region" level="1" rowHeight="247650"/>
  <slicer name="Category 3" xr10:uid="{184ED692-581C-498D-B399-F823F99C217B}" cache="Slicer_Category" caption="Category" level="1" rowHeight="247650"/>
  <slicer name="Category 2" xr10:uid="{DC5D8D2E-4441-49B9-9BB7-5521B765C044}" cache="Slicer_Category1" caption="Category"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FD57-C0E8-4E8D-84DA-ABA007C1B146}">
  <sheetPr codeName="Sheet1"/>
  <dimension ref="A3:B8"/>
  <sheetViews>
    <sheetView workbookViewId="0">
      <selection activeCell="O15" sqref="O15"/>
    </sheetView>
  </sheetViews>
  <sheetFormatPr defaultRowHeight="14.4" x14ac:dyDescent="0.3"/>
  <cols>
    <col min="1" max="1" width="12.44140625" bestFit="1" customWidth="1"/>
    <col min="2" max="2" width="11.5546875" bestFit="1" customWidth="1"/>
  </cols>
  <sheetData>
    <row r="3" spans="1:2" x14ac:dyDescent="0.3">
      <c r="A3" s="6" t="s">
        <v>438</v>
      </c>
      <c r="B3" t="s">
        <v>441</v>
      </c>
    </row>
    <row r="4" spans="1:2" x14ac:dyDescent="0.3">
      <c r="A4" s="7" t="s">
        <v>37</v>
      </c>
      <c r="B4" s="8">
        <v>126910</v>
      </c>
    </row>
    <row r="5" spans="1:2" x14ac:dyDescent="0.3">
      <c r="A5" s="7" t="s">
        <v>16</v>
      </c>
      <c r="B5" s="8">
        <v>67080</v>
      </c>
    </row>
    <row r="6" spans="1:2" x14ac:dyDescent="0.3">
      <c r="A6" s="7" t="s">
        <v>23</v>
      </c>
      <c r="B6" s="8">
        <v>35404</v>
      </c>
    </row>
    <row r="7" spans="1:2" x14ac:dyDescent="0.3">
      <c r="A7" s="7" t="s">
        <v>439</v>
      </c>
      <c r="B7" s="8">
        <v>1700</v>
      </c>
    </row>
    <row r="8" spans="1:2" x14ac:dyDescent="0.3">
      <c r="A8" s="7" t="s">
        <v>440</v>
      </c>
      <c r="B8" s="8">
        <v>231094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6F4F-8DD1-4109-ADED-7CE049A044FF}">
  <sheetPr codeName="Sheet2"/>
  <dimension ref="A3:B7"/>
  <sheetViews>
    <sheetView workbookViewId="0">
      <selection activeCell="J22" sqref="J22"/>
    </sheetView>
  </sheetViews>
  <sheetFormatPr defaultRowHeight="14.4" x14ac:dyDescent="0.3"/>
  <cols>
    <col min="1" max="1" width="12.44140625" bestFit="1" customWidth="1"/>
    <col min="2" max="2" width="15.5546875" bestFit="1" customWidth="1"/>
  </cols>
  <sheetData>
    <row r="3" spans="1:2" x14ac:dyDescent="0.3">
      <c r="A3" s="6" t="s">
        <v>438</v>
      </c>
      <c r="B3" t="s">
        <v>443</v>
      </c>
    </row>
    <row r="4" spans="1:2" x14ac:dyDescent="0.3">
      <c r="A4" s="7" t="s">
        <v>20</v>
      </c>
      <c r="B4" s="8">
        <v>50</v>
      </c>
    </row>
    <row r="5" spans="1:2" x14ac:dyDescent="0.3">
      <c r="A5" s="7" t="s">
        <v>43</v>
      </c>
      <c r="B5" s="8">
        <v>9</v>
      </c>
    </row>
    <row r="6" spans="1:2" x14ac:dyDescent="0.3">
      <c r="A6" s="7" t="s">
        <v>442</v>
      </c>
      <c r="B6" s="8">
        <v>5</v>
      </c>
    </row>
    <row r="7" spans="1:2" x14ac:dyDescent="0.3">
      <c r="A7" s="7" t="s">
        <v>440</v>
      </c>
      <c r="B7" s="8">
        <v>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3DD66-DF8D-4F6B-9FF0-88F85B4DA466}">
  <sheetPr codeName="Sheet3"/>
  <dimension ref="A3:B8"/>
  <sheetViews>
    <sheetView workbookViewId="0">
      <selection activeCell="M11" sqref="M11"/>
    </sheetView>
  </sheetViews>
  <sheetFormatPr defaultRowHeight="14.4" x14ac:dyDescent="0.3"/>
  <cols>
    <col min="1" max="1" width="12.44140625" bestFit="1" customWidth="1"/>
    <col min="2" max="2" width="16" bestFit="1" customWidth="1"/>
  </cols>
  <sheetData>
    <row r="3" spans="1:2" x14ac:dyDescent="0.3">
      <c r="A3" s="6" t="s">
        <v>438</v>
      </c>
      <c r="B3" t="s">
        <v>444</v>
      </c>
    </row>
    <row r="4" spans="1:2" x14ac:dyDescent="0.3">
      <c r="A4" s="7" t="s">
        <v>24</v>
      </c>
      <c r="B4" s="8">
        <v>383</v>
      </c>
    </row>
    <row r="5" spans="1:2" x14ac:dyDescent="0.3">
      <c r="A5" s="7" t="s">
        <v>41</v>
      </c>
      <c r="B5" s="8">
        <v>384</v>
      </c>
    </row>
    <row r="6" spans="1:2" x14ac:dyDescent="0.3">
      <c r="A6" s="7" t="s">
        <v>30</v>
      </c>
      <c r="B6" s="8">
        <v>417</v>
      </c>
    </row>
    <row r="7" spans="1:2" x14ac:dyDescent="0.3">
      <c r="A7" s="7" t="s">
        <v>17</v>
      </c>
      <c r="B7" s="8">
        <v>417</v>
      </c>
    </row>
    <row r="8" spans="1:2" x14ac:dyDescent="0.3">
      <c r="A8" s="7" t="s">
        <v>440</v>
      </c>
      <c r="B8" s="8">
        <v>1601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862A-4DBD-4A5B-BF48-4F5B786207D4}">
  <sheetPr codeName="Sheet4"/>
  <dimension ref="A1:AC202"/>
  <sheetViews>
    <sheetView tabSelected="1" topLeftCell="L179" zoomScale="90" zoomScaleNormal="130" workbookViewId="0">
      <selection activeCell="AD1" sqref="AD1"/>
    </sheetView>
  </sheetViews>
  <sheetFormatPr defaultRowHeight="14.4" x14ac:dyDescent="0.3"/>
  <cols>
    <col min="2" max="2" width="17.6640625" bestFit="1" customWidth="1"/>
    <col min="3" max="3" width="10.5546875" bestFit="1" customWidth="1"/>
    <col min="6" max="6" width="10.88671875" bestFit="1" customWidth="1"/>
    <col min="7" max="7" width="9.5546875" bestFit="1" customWidth="1"/>
    <col min="12" max="12" width="11.109375" bestFit="1" customWidth="1"/>
    <col min="13" max="13" width="13.33203125" bestFit="1" customWidth="1"/>
    <col min="14" max="14" width="11.44140625" bestFit="1" customWidth="1"/>
    <col min="15" max="15" width="8.88671875" style="4"/>
    <col min="16" max="16" width="11.109375" bestFit="1" customWidth="1"/>
    <col min="17" max="17" width="17.6640625" bestFit="1" customWidth="1"/>
    <col min="18" max="18" width="10.5546875" bestFit="1" customWidth="1"/>
    <col min="19" max="19" width="10.21875" bestFit="1" customWidth="1"/>
    <col min="21" max="21" width="11" bestFit="1" customWidth="1"/>
    <col min="22" max="22" width="9.5546875" bestFit="1" customWidth="1"/>
    <col min="23" max="23" width="9.21875" bestFit="1" customWidth="1"/>
    <col min="27" max="27" width="11.21875" bestFit="1" customWidth="1"/>
    <col min="28" max="28" width="13.5546875" bestFit="1" customWidth="1"/>
    <col min="29" max="29" width="11.33203125" customWidth="1"/>
  </cols>
  <sheetData>
    <row r="1" spans="1:29" x14ac:dyDescent="0.3">
      <c r="A1" s="1" t="s">
        <v>0</v>
      </c>
      <c r="B1" s="1" t="s">
        <v>1</v>
      </c>
      <c r="C1" s="1" t="s">
        <v>2</v>
      </c>
      <c r="D1" s="1" t="s">
        <v>3</v>
      </c>
      <c r="E1" s="1" t="s">
        <v>4</v>
      </c>
      <c r="F1" s="1" t="s">
        <v>5</v>
      </c>
      <c r="G1" s="1" t="s">
        <v>6</v>
      </c>
      <c r="H1" s="1" t="s">
        <v>7</v>
      </c>
      <c r="I1" s="1" t="s">
        <v>8</v>
      </c>
      <c r="J1" s="1" t="s">
        <v>9</v>
      </c>
      <c r="K1" s="1" t="s">
        <v>10</v>
      </c>
      <c r="L1" s="1" t="s">
        <v>11</v>
      </c>
      <c r="M1" s="1" t="s">
        <v>12</v>
      </c>
      <c r="N1" s="1" t="s">
        <v>13</v>
      </c>
      <c r="P1" s="29" t="s">
        <v>0</v>
      </c>
      <c r="Q1" s="29" t="s">
        <v>1</v>
      </c>
      <c r="R1" s="29" t="s">
        <v>2</v>
      </c>
      <c r="S1" s="29" t="s">
        <v>3</v>
      </c>
      <c r="T1" s="29" t="s">
        <v>4</v>
      </c>
      <c r="U1" s="29" t="s">
        <v>5</v>
      </c>
      <c r="V1" s="29" t="s">
        <v>6</v>
      </c>
      <c r="W1" s="29" t="s">
        <v>7</v>
      </c>
      <c r="X1" s="29" t="s">
        <v>8</v>
      </c>
      <c r="Y1" s="29" t="s">
        <v>9</v>
      </c>
      <c r="Z1" s="29" t="s">
        <v>10</v>
      </c>
      <c r="AA1" s="29" t="s">
        <v>11</v>
      </c>
      <c r="AB1" s="29" t="s">
        <v>12</v>
      </c>
      <c r="AC1" s="29" t="s">
        <v>13</v>
      </c>
    </row>
    <row r="2" spans="1:29" x14ac:dyDescent="0.3">
      <c r="A2" s="1" t="s">
        <v>14</v>
      </c>
      <c r="B2" s="2"/>
      <c r="C2" s="1" t="s">
        <v>15</v>
      </c>
      <c r="D2" s="1" t="s">
        <v>16</v>
      </c>
      <c r="E2" s="1" t="s">
        <v>17</v>
      </c>
      <c r="F2" s="1" t="s">
        <v>18</v>
      </c>
      <c r="G2" s="1">
        <v>1</v>
      </c>
      <c r="H2" s="1">
        <v>9700</v>
      </c>
      <c r="I2" s="1">
        <v>9700</v>
      </c>
      <c r="J2" s="1">
        <v>7300</v>
      </c>
      <c r="K2" s="1">
        <v>2400</v>
      </c>
      <c r="L2" s="1">
        <v>12000</v>
      </c>
      <c r="M2" s="1" t="s">
        <v>19</v>
      </c>
      <c r="N2" s="1" t="s">
        <v>20</v>
      </c>
      <c r="P2" s="29" t="str">
        <f>IF(COUNTBLANK(A2)=0,A2,"GUEST USER")</f>
        <v>ORD1031</v>
      </c>
      <c r="Q2" s="29" t="str">
        <f>IF(COUNTBLANK(B2)=0,B2,"UNKNOWN")</f>
        <v>UNKNOWN</v>
      </c>
      <c r="R2" s="29" t="str">
        <f>IF(COUNTBLANK(C2)=0,C2,"UNKNOWN")</f>
        <v>Desk</v>
      </c>
      <c r="S2" s="29" t="str">
        <f>IF(COUNTBLANK(D2)=0,D2,"UNKNOWN")</f>
        <v>Furniture</v>
      </c>
      <c r="T2" s="29" t="str">
        <f>IF(COUNTBLANK(E2)=0,E2,"UNKNOWN")</f>
        <v>West</v>
      </c>
      <c r="U2" s="29" t="str">
        <f>IF(COUNTBLANK(F2)=0,F2,"SOMEONE")</f>
        <v>Amit Paul</v>
      </c>
      <c r="V2" s="29">
        <f>IF(COUNTBLANK(G2)=0,G2,0)</f>
        <v>1</v>
      </c>
      <c r="W2" s="29">
        <f>IF(COUNTBLANK(H2)=0,H2,0)</f>
        <v>9700</v>
      </c>
      <c r="X2" s="29">
        <f>H2*G2</f>
        <v>9700</v>
      </c>
      <c r="Y2" s="29">
        <v>7300</v>
      </c>
      <c r="Z2" s="29">
        <f>X2-Y2</f>
        <v>2400</v>
      </c>
      <c r="AA2" s="29">
        <v>12000</v>
      </c>
      <c r="AB2" s="29" t="s">
        <v>19</v>
      </c>
      <c r="AC2" s="29" t="str">
        <f>IF(COUNTBLANK(N2)=0,N2,"Processing")</f>
        <v>Delivered</v>
      </c>
    </row>
    <row r="3" spans="1:29" x14ac:dyDescent="0.3">
      <c r="A3" s="1" t="s">
        <v>21</v>
      </c>
      <c r="B3" s="2"/>
      <c r="C3" s="1" t="s">
        <v>22</v>
      </c>
      <c r="D3" s="1" t="s">
        <v>23</v>
      </c>
      <c r="E3" s="1" t="s">
        <v>24</v>
      </c>
      <c r="F3" s="1" t="s">
        <v>25</v>
      </c>
      <c r="G3" s="1">
        <v>31</v>
      </c>
      <c r="H3" s="1">
        <v>147</v>
      </c>
      <c r="I3" s="1">
        <v>4557</v>
      </c>
      <c r="J3" s="1">
        <v>1860</v>
      </c>
      <c r="K3" s="1">
        <v>2697</v>
      </c>
      <c r="L3" s="1">
        <v>5100</v>
      </c>
      <c r="M3" s="1" t="s">
        <v>26</v>
      </c>
      <c r="N3" s="1" t="s">
        <v>20</v>
      </c>
      <c r="P3" s="29" t="str">
        <f t="shared" ref="P3:P66" si="0">IF(COUNTBLANK(A3)=0,A3,"GUEST USER")</f>
        <v>ORD1173</v>
      </c>
      <c r="Q3" s="29" t="str">
        <f t="shared" ref="Q3:Q66" si="1">IF(COUNTBLANK(B3)=0,B3,"UNKNOWN")</f>
        <v>UNKNOWN</v>
      </c>
      <c r="R3" s="29" t="str">
        <f t="shared" ref="R3:R66" si="2">IF(COUNTBLANK(C3)=0,C3,"UNKNOWN")</f>
        <v>Pen Pack</v>
      </c>
      <c r="S3" s="29" t="str">
        <f t="shared" ref="S3:S66" si="3">IF(COUNTBLANK(D3)=0,D3,"UNKNOWN")</f>
        <v>Stationery</v>
      </c>
      <c r="T3" s="29" t="str">
        <f t="shared" ref="T3:T66" si="4">IF(COUNTBLANK(E3)=0,E3,"UNKNOWN")</f>
        <v>East</v>
      </c>
      <c r="U3" s="29" t="str">
        <f t="shared" ref="U3:U66" si="5">IF(COUNTBLANK(F3)=0,F3,"SOMEONE")</f>
        <v>Rahul Das</v>
      </c>
      <c r="V3" s="29">
        <f t="shared" ref="V3:V66" si="6">IF(COUNTBLANK(G3)=0,G3,0)</f>
        <v>31</v>
      </c>
      <c r="W3" s="29">
        <f t="shared" ref="W3:W66" si="7">IF(COUNTBLANK(H3)=0,H3,0)</f>
        <v>147</v>
      </c>
      <c r="X3" s="29">
        <f t="shared" ref="X3:X66" si="8">H3*G3</f>
        <v>4557</v>
      </c>
      <c r="Y3" s="29">
        <v>1860</v>
      </c>
      <c r="Z3" s="29">
        <f t="shared" ref="Z3:Z66" si="9">X3-Y3</f>
        <v>2697</v>
      </c>
      <c r="AA3" s="29">
        <v>5100</v>
      </c>
      <c r="AB3" s="29" t="s">
        <v>26</v>
      </c>
      <c r="AC3" s="29" t="str">
        <f t="shared" ref="AC3:AC66" si="10">IF(COUNTBLANK(N3)=0,N3,"Processing")</f>
        <v>Delivered</v>
      </c>
    </row>
    <row r="4" spans="1:29" x14ac:dyDescent="0.3">
      <c r="A4" s="1" t="s">
        <v>27</v>
      </c>
      <c r="B4" s="2"/>
      <c r="C4" s="1" t="s">
        <v>15</v>
      </c>
      <c r="D4" s="1" t="s">
        <v>16</v>
      </c>
      <c r="E4" s="1" t="s">
        <v>24</v>
      </c>
      <c r="F4" s="1" t="s">
        <v>25</v>
      </c>
      <c r="G4" s="1">
        <v>2</v>
      </c>
      <c r="H4" s="1">
        <v>9350</v>
      </c>
      <c r="I4" s="1">
        <v>18700</v>
      </c>
      <c r="J4" s="1">
        <v>13900</v>
      </c>
      <c r="K4" s="1">
        <v>4800</v>
      </c>
      <c r="L4" s="1">
        <v>21000</v>
      </c>
      <c r="M4" s="1" t="s">
        <v>28</v>
      </c>
      <c r="N4" s="1" t="s">
        <v>20</v>
      </c>
      <c r="P4" s="29" t="str">
        <f t="shared" si="0"/>
        <v>ORD1085</v>
      </c>
      <c r="Q4" s="29" t="str">
        <f t="shared" si="1"/>
        <v>UNKNOWN</v>
      </c>
      <c r="R4" s="29" t="str">
        <f t="shared" si="2"/>
        <v>Desk</v>
      </c>
      <c r="S4" s="29" t="str">
        <f t="shared" si="3"/>
        <v>Furniture</v>
      </c>
      <c r="T4" s="29" t="str">
        <f t="shared" si="4"/>
        <v>East</v>
      </c>
      <c r="U4" s="29" t="str">
        <f t="shared" si="5"/>
        <v>Rahul Das</v>
      </c>
      <c r="V4" s="29">
        <f t="shared" si="6"/>
        <v>2</v>
      </c>
      <c r="W4" s="29">
        <f t="shared" si="7"/>
        <v>9350</v>
      </c>
      <c r="X4" s="29">
        <f t="shared" si="8"/>
        <v>18700</v>
      </c>
      <c r="Y4" s="29">
        <v>13900</v>
      </c>
      <c r="Z4" s="29">
        <f t="shared" si="9"/>
        <v>4800</v>
      </c>
      <c r="AA4" s="29">
        <v>21000</v>
      </c>
      <c r="AB4" s="29" t="s">
        <v>28</v>
      </c>
      <c r="AC4" s="29" t="str">
        <f t="shared" si="10"/>
        <v>Delivered</v>
      </c>
    </row>
    <row r="5" spans="1:29" x14ac:dyDescent="0.3">
      <c r="A5" s="1" t="s">
        <v>29</v>
      </c>
      <c r="B5" s="2"/>
      <c r="C5" s="1" t="s">
        <v>22</v>
      </c>
      <c r="D5" s="1" t="s">
        <v>23</v>
      </c>
      <c r="E5" s="1" t="s">
        <v>30</v>
      </c>
      <c r="F5" s="1" t="s">
        <v>31</v>
      </c>
      <c r="G5" s="1">
        <v>30</v>
      </c>
      <c r="H5" s="1">
        <v>149</v>
      </c>
      <c r="I5" s="1">
        <v>4470</v>
      </c>
      <c r="J5" s="1">
        <v>1820</v>
      </c>
      <c r="K5" s="1">
        <v>2650</v>
      </c>
      <c r="L5" s="1">
        <v>5000</v>
      </c>
      <c r="M5" s="1" t="s">
        <v>26</v>
      </c>
      <c r="N5" s="1" t="s">
        <v>20</v>
      </c>
      <c r="P5" s="29" t="str">
        <f t="shared" si="0"/>
        <v>ORD1200</v>
      </c>
      <c r="Q5" s="29" t="str">
        <f t="shared" si="1"/>
        <v>UNKNOWN</v>
      </c>
      <c r="R5" s="29" t="str">
        <f t="shared" si="2"/>
        <v>Pen Pack</v>
      </c>
      <c r="S5" s="29" t="str">
        <f t="shared" si="3"/>
        <v>Stationery</v>
      </c>
      <c r="T5" s="29" t="str">
        <f t="shared" si="4"/>
        <v>South</v>
      </c>
      <c r="U5" s="29" t="str">
        <f t="shared" si="5"/>
        <v>Pooja Dey</v>
      </c>
      <c r="V5" s="29">
        <f t="shared" si="6"/>
        <v>30</v>
      </c>
      <c r="W5" s="29">
        <f t="shared" si="7"/>
        <v>149</v>
      </c>
      <c r="X5" s="29">
        <f t="shared" si="8"/>
        <v>4470</v>
      </c>
      <c r="Y5" s="29">
        <v>1820</v>
      </c>
      <c r="Z5" s="29">
        <f t="shared" si="9"/>
        <v>2650</v>
      </c>
      <c r="AA5" s="29">
        <v>5000</v>
      </c>
      <c r="AB5" s="29" t="s">
        <v>26</v>
      </c>
      <c r="AC5" s="29" t="str">
        <f t="shared" si="10"/>
        <v>Delivered</v>
      </c>
    </row>
    <row r="6" spans="1:29" x14ac:dyDescent="0.3">
      <c r="A6" s="1" t="s">
        <v>32</v>
      </c>
      <c r="B6" s="2"/>
      <c r="C6" s="1" t="s">
        <v>33</v>
      </c>
      <c r="D6" s="1" t="s">
        <v>16</v>
      </c>
      <c r="E6" s="1" t="s">
        <v>24</v>
      </c>
      <c r="F6" s="1" t="s">
        <v>25</v>
      </c>
      <c r="G6" s="1">
        <v>2</v>
      </c>
      <c r="H6" s="1">
        <v>11100</v>
      </c>
      <c r="I6" s="1">
        <v>22200</v>
      </c>
      <c r="J6" s="1">
        <v>16800</v>
      </c>
      <c r="K6" s="1">
        <v>5400</v>
      </c>
      <c r="L6" s="1">
        <v>25000</v>
      </c>
      <c r="M6" s="1" t="s">
        <v>28</v>
      </c>
      <c r="N6" s="1" t="s">
        <v>20</v>
      </c>
      <c r="P6" s="29" t="str">
        <f t="shared" si="0"/>
        <v>ORD1061</v>
      </c>
      <c r="Q6" s="29" t="str">
        <f t="shared" si="1"/>
        <v>UNKNOWN</v>
      </c>
      <c r="R6" s="29" t="str">
        <f t="shared" si="2"/>
        <v>Bookshelf</v>
      </c>
      <c r="S6" s="29" t="str">
        <f t="shared" si="3"/>
        <v>Furniture</v>
      </c>
      <c r="T6" s="29" t="str">
        <f t="shared" si="4"/>
        <v>East</v>
      </c>
      <c r="U6" s="29" t="str">
        <f t="shared" si="5"/>
        <v>Rahul Das</v>
      </c>
      <c r="V6" s="29">
        <f t="shared" si="6"/>
        <v>2</v>
      </c>
      <c r="W6" s="29">
        <f t="shared" si="7"/>
        <v>11100</v>
      </c>
      <c r="X6" s="29">
        <f t="shared" si="8"/>
        <v>22200</v>
      </c>
      <c r="Y6" s="29">
        <v>16800</v>
      </c>
      <c r="Z6" s="29">
        <f t="shared" si="9"/>
        <v>5400</v>
      </c>
      <c r="AA6" s="29">
        <v>25000</v>
      </c>
      <c r="AB6" s="29" t="s">
        <v>28</v>
      </c>
      <c r="AC6" s="29" t="str">
        <f t="shared" si="10"/>
        <v>Delivered</v>
      </c>
    </row>
    <row r="7" spans="1:29" x14ac:dyDescent="0.3">
      <c r="A7" s="1" t="s">
        <v>34</v>
      </c>
      <c r="B7" s="1" t="s">
        <v>35</v>
      </c>
      <c r="C7" s="1" t="s">
        <v>36</v>
      </c>
      <c r="D7" s="1" t="s">
        <v>37</v>
      </c>
      <c r="E7" s="1" t="s">
        <v>30</v>
      </c>
      <c r="F7" s="1" t="s">
        <v>31</v>
      </c>
      <c r="G7" s="1">
        <v>2</v>
      </c>
      <c r="H7" s="1">
        <v>15190</v>
      </c>
      <c r="I7" s="1">
        <v>30380</v>
      </c>
      <c r="J7" s="1">
        <v>23620</v>
      </c>
      <c r="K7" s="1">
        <v>6760</v>
      </c>
      <c r="L7" s="1">
        <v>34000</v>
      </c>
      <c r="M7" s="1" t="s">
        <v>19</v>
      </c>
      <c r="N7" s="1" t="s">
        <v>20</v>
      </c>
      <c r="P7" s="29" t="str">
        <f t="shared" si="0"/>
        <v>ORD1156</v>
      </c>
      <c r="Q7" s="29" t="str">
        <f t="shared" si="1"/>
        <v>Priyanka Das</v>
      </c>
      <c r="R7" s="29" t="str">
        <f t="shared" si="2"/>
        <v>Printer</v>
      </c>
      <c r="S7" s="29" t="str">
        <f t="shared" si="3"/>
        <v>Electronics</v>
      </c>
      <c r="T7" s="29" t="str">
        <f t="shared" si="4"/>
        <v>South</v>
      </c>
      <c r="U7" s="29" t="str">
        <f t="shared" si="5"/>
        <v>Pooja Dey</v>
      </c>
      <c r="V7" s="29">
        <f t="shared" si="6"/>
        <v>2</v>
      </c>
      <c r="W7" s="29">
        <f t="shared" si="7"/>
        <v>15190</v>
      </c>
      <c r="X7" s="29">
        <f t="shared" si="8"/>
        <v>30380</v>
      </c>
      <c r="Y7" s="29">
        <v>23620</v>
      </c>
      <c r="Z7" s="29">
        <f t="shared" si="9"/>
        <v>6760</v>
      </c>
      <c r="AA7" s="29">
        <v>34000</v>
      </c>
      <c r="AB7" s="29" t="s">
        <v>19</v>
      </c>
      <c r="AC7" s="29" t="str">
        <f t="shared" si="10"/>
        <v>Delivered</v>
      </c>
    </row>
    <row r="8" spans="1:29" x14ac:dyDescent="0.3">
      <c r="A8" s="1" t="s">
        <v>38</v>
      </c>
      <c r="B8" s="1" t="s">
        <v>39</v>
      </c>
      <c r="C8" s="1" t="s">
        <v>40</v>
      </c>
      <c r="D8" s="1" t="s">
        <v>16</v>
      </c>
      <c r="E8" s="1" t="s">
        <v>41</v>
      </c>
      <c r="F8" s="1" t="s">
        <v>42</v>
      </c>
      <c r="G8" s="1">
        <v>4</v>
      </c>
      <c r="H8" s="1">
        <v>6900</v>
      </c>
      <c r="I8" s="1">
        <v>27600</v>
      </c>
      <c r="J8" s="1">
        <v>20500</v>
      </c>
      <c r="K8" s="1">
        <v>7100</v>
      </c>
      <c r="L8" s="1">
        <v>30000</v>
      </c>
      <c r="M8" s="1" t="s">
        <v>28</v>
      </c>
      <c r="N8" s="1" t="s">
        <v>43</v>
      </c>
      <c r="P8" s="29" t="str">
        <f t="shared" si="0"/>
        <v>ORD1046</v>
      </c>
      <c r="Q8" s="29" t="str">
        <f t="shared" si="1"/>
        <v>Deepa Sharma</v>
      </c>
      <c r="R8" s="29" t="str">
        <f t="shared" si="2"/>
        <v>Office Chair</v>
      </c>
      <c r="S8" s="29" t="str">
        <f t="shared" si="3"/>
        <v>Furniture</v>
      </c>
      <c r="T8" s="29" t="str">
        <f t="shared" si="4"/>
        <v>North</v>
      </c>
      <c r="U8" s="29" t="str">
        <f t="shared" si="5"/>
        <v>Sneha Roy</v>
      </c>
      <c r="V8" s="29">
        <f t="shared" si="6"/>
        <v>4</v>
      </c>
      <c r="W8" s="29">
        <f t="shared" si="7"/>
        <v>6900</v>
      </c>
      <c r="X8" s="29">
        <f t="shared" si="8"/>
        <v>27600</v>
      </c>
      <c r="Y8" s="29">
        <v>20500</v>
      </c>
      <c r="Z8" s="29">
        <f t="shared" si="9"/>
        <v>7100</v>
      </c>
      <c r="AA8" s="29">
        <v>30000</v>
      </c>
      <c r="AB8" s="29" t="s">
        <v>28</v>
      </c>
      <c r="AC8" s="29" t="str">
        <f t="shared" si="10"/>
        <v>Pending</v>
      </c>
    </row>
    <row r="9" spans="1:29" x14ac:dyDescent="0.3">
      <c r="A9" s="1"/>
      <c r="B9" s="1" t="s">
        <v>44</v>
      </c>
      <c r="C9" s="1" t="s">
        <v>36</v>
      </c>
      <c r="D9" s="1" t="s">
        <v>37</v>
      </c>
      <c r="E9" s="1" t="s">
        <v>17</v>
      </c>
      <c r="F9" s="1" t="s">
        <v>18</v>
      </c>
      <c r="G9" s="1">
        <v>1</v>
      </c>
      <c r="H9" s="1">
        <v>15170</v>
      </c>
      <c r="I9" s="1">
        <v>15170</v>
      </c>
      <c r="J9" s="1">
        <v>11920</v>
      </c>
      <c r="K9" s="1">
        <v>3250</v>
      </c>
      <c r="L9" s="1">
        <v>17500</v>
      </c>
      <c r="M9" s="1" t="s">
        <v>19</v>
      </c>
      <c r="N9" s="1" t="s">
        <v>20</v>
      </c>
      <c r="P9" s="29" t="str">
        <f t="shared" si="0"/>
        <v>GUEST USER</v>
      </c>
      <c r="Q9" s="29" t="str">
        <f t="shared" si="1"/>
        <v>Sourav Dutta</v>
      </c>
      <c r="R9" s="29" t="str">
        <f t="shared" si="2"/>
        <v>Printer</v>
      </c>
      <c r="S9" s="29" t="str">
        <f t="shared" si="3"/>
        <v>Electronics</v>
      </c>
      <c r="T9" s="29" t="str">
        <f t="shared" si="4"/>
        <v>West</v>
      </c>
      <c r="U9" s="29" t="str">
        <f t="shared" si="5"/>
        <v>Amit Paul</v>
      </c>
      <c r="V9" s="29">
        <f t="shared" si="6"/>
        <v>1</v>
      </c>
      <c r="W9" s="29">
        <f t="shared" si="7"/>
        <v>15170</v>
      </c>
      <c r="X9" s="29">
        <f t="shared" si="8"/>
        <v>15170</v>
      </c>
      <c r="Y9" s="29">
        <v>11920</v>
      </c>
      <c r="Z9" s="29">
        <f t="shared" si="9"/>
        <v>3250</v>
      </c>
      <c r="AA9" s="29">
        <v>17500</v>
      </c>
      <c r="AB9" s="29" t="s">
        <v>19</v>
      </c>
      <c r="AC9" s="29" t="str">
        <f t="shared" si="10"/>
        <v>Delivered</v>
      </c>
    </row>
    <row r="10" spans="1:29" x14ac:dyDescent="0.3">
      <c r="A10" s="1" t="s">
        <v>45</v>
      </c>
      <c r="B10" s="1" t="s">
        <v>46</v>
      </c>
      <c r="C10" s="1" t="s">
        <v>47</v>
      </c>
      <c r="D10" s="1" t="s">
        <v>23</v>
      </c>
      <c r="E10" s="1" t="s">
        <v>41</v>
      </c>
      <c r="F10" s="1" t="s">
        <v>42</v>
      </c>
      <c r="G10" s="1">
        <v>10</v>
      </c>
      <c r="H10" s="1">
        <v>250</v>
      </c>
      <c r="I10" s="1">
        <v>2500</v>
      </c>
      <c r="J10" s="1">
        <v>1100</v>
      </c>
      <c r="K10" s="1">
        <v>1400</v>
      </c>
      <c r="L10" s="1">
        <v>3500</v>
      </c>
      <c r="M10" s="1" t="s">
        <v>26</v>
      </c>
      <c r="N10" s="1" t="s">
        <v>20</v>
      </c>
      <c r="P10" s="29" t="str">
        <f t="shared" si="0"/>
        <v>ORD1010</v>
      </c>
      <c r="Q10" s="29" t="str">
        <f t="shared" si="1"/>
        <v>Vikram Saha</v>
      </c>
      <c r="R10" s="29" t="str">
        <f t="shared" si="2"/>
        <v>Marker Set</v>
      </c>
      <c r="S10" s="29" t="str">
        <f t="shared" si="3"/>
        <v>Stationery</v>
      </c>
      <c r="T10" s="29" t="str">
        <f t="shared" si="4"/>
        <v>North</v>
      </c>
      <c r="U10" s="29" t="str">
        <f t="shared" si="5"/>
        <v>Sneha Roy</v>
      </c>
      <c r="V10" s="29">
        <f t="shared" si="6"/>
        <v>10</v>
      </c>
      <c r="W10" s="29">
        <f t="shared" si="7"/>
        <v>250</v>
      </c>
      <c r="X10" s="29">
        <f t="shared" si="8"/>
        <v>2500</v>
      </c>
      <c r="Y10" s="29">
        <v>1100</v>
      </c>
      <c r="Z10" s="29">
        <f t="shared" si="9"/>
        <v>1400</v>
      </c>
      <c r="AA10" s="29">
        <v>3500</v>
      </c>
      <c r="AB10" s="29" t="s">
        <v>26</v>
      </c>
      <c r="AC10" s="29" t="str">
        <f t="shared" si="10"/>
        <v>Delivered</v>
      </c>
    </row>
    <row r="11" spans="1:29" x14ac:dyDescent="0.3">
      <c r="A11" s="1" t="s">
        <v>48</v>
      </c>
      <c r="B11" s="1" t="s">
        <v>49</v>
      </c>
      <c r="C11" s="1" t="s">
        <v>47</v>
      </c>
      <c r="D11" s="1" t="s">
        <v>23</v>
      </c>
      <c r="E11" s="1" t="s">
        <v>24</v>
      </c>
      <c r="F11" s="1" t="s">
        <v>25</v>
      </c>
      <c r="G11" s="1">
        <v>22</v>
      </c>
      <c r="H11" s="1">
        <v>254</v>
      </c>
      <c r="I11" s="1">
        <v>5588</v>
      </c>
      <c r="J11" s="1">
        <v>2280</v>
      </c>
      <c r="K11" s="1">
        <v>3308</v>
      </c>
      <c r="L11" s="1">
        <v>6000</v>
      </c>
      <c r="M11" s="1" t="s">
        <v>26</v>
      </c>
      <c r="N11" s="1" t="s">
        <v>20</v>
      </c>
      <c r="P11" s="29" t="str">
        <f t="shared" si="0"/>
        <v>ORD1197</v>
      </c>
      <c r="Q11" s="29" t="str">
        <f t="shared" si="1"/>
        <v>Vikram Roy</v>
      </c>
      <c r="R11" s="29" t="str">
        <f t="shared" si="2"/>
        <v>Marker Set</v>
      </c>
      <c r="S11" s="29" t="str">
        <f t="shared" si="3"/>
        <v>Stationery</v>
      </c>
      <c r="T11" s="29" t="str">
        <f t="shared" si="4"/>
        <v>East</v>
      </c>
      <c r="U11" s="29" t="str">
        <f t="shared" si="5"/>
        <v>Rahul Das</v>
      </c>
      <c r="V11" s="29">
        <f t="shared" si="6"/>
        <v>22</v>
      </c>
      <c r="W11" s="29">
        <f t="shared" si="7"/>
        <v>254</v>
      </c>
      <c r="X11" s="29">
        <f t="shared" si="8"/>
        <v>5588</v>
      </c>
      <c r="Y11" s="29">
        <v>2280</v>
      </c>
      <c r="Z11" s="29">
        <f t="shared" si="9"/>
        <v>3308</v>
      </c>
      <c r="AA11" s="29">
        <v>6000</v>
      </c>
      <c r="AB11" s="29" t="s">
        <v>26</v>
      </c>
      <c r="AC11" s="29" t="str">
        <f t="shared" si="10"/>
        <v>Delivered</v>
      </c>
    </row>
    <row r="12" spans="1:29" x14ac:dyDescent="0.3">
      <c r="A12" s="1" t="s">
        <v>50</v>
      </c>
      <c r="B12" s="1" t="s">
        <v>51</v>
      </c>
      <c r="C12" s="1" t="s">
        <v>22</v>
      </c>
      <c r="D12" s="1" t="s">
        <v>23</v>
      </c>
      <c r="E12" s="1" t="s">
        <v>24</v>
      </c>
      <c r="F12" s="1" t="s">
        <v>25</v>
      </c>
      <c r="G12" s="1">
        <v>29</v>
      </c>
      <c r="H12" s="1">
        <v>148</v>
      </c>
      <c r="I12" s="1">
        <v>4292</v>
      </c>
      <c r="J12" s="1">
        <v>1780</v>
      </c>
      <c r="K12" s="1">
        <v>2512</v>
      </c>
      <c r="L12" s="1">
        <v>4900</v>
      </c>
      <c r="M12" s="1" t="s">
        <v>26</v>
      </c>
      <c r="N12" s="1" t="s">
        <v>20</v>
      </c>
      <c r="P12" s="29" t="str">
        <f t="shared" si="0"/>
        <v>ORD1137</v>
      </c>
      <c r="Q12" s="29" t="str">
        <f t="shared" si="1"/>
        <v>Ayan Mukhopadhyay</v>
      </c>
      <c r="R12" s="29" t="str">
        <f t="shared" si="2"/>
        <v>Pen Pack</v>
      </c>
      <c r="S12" s="29" t="str">
        <f t="shared" si="3"/>
        <v>Stationery</v>
      </c>
      <c r="T12" s="29" t="str">
        <f t="shared" si="4"/>
        <v>East</v>
      </c>
      <c r="U12" s="29" t="str">
        <f t="shared" si="5"/>
        <v>Rahul Das</v>
      </c>
      <c r="V12" s="29">
        <f t="shared" si="6"/>
        <v>29</v>
      </c>
      <c r="W12" s="29">
        <f t="shared" si="7"/>
        <v>148</v>
      </c>
      <c r="X12" s="29">
        <f t="shared" si="8"/>
        <v>4292</v>
      </c>
      <c r="Y12" s="29">
        <v>1780</v>
      </c>
      <c r="Z12" s="29">
        <f t="shared" si="9"/>
        <v>2512</v>
      </c>
      <c r="AA12" s="29">
        <v>4900</v>
      </c>
      <c r="AB12" s="29" t="s">
        <v>26</v>
      </c>
      <c r="AC12" s="29" t="str">
        <f t="shared" si="10"/>
        <v>Delivered</v>
      </c>
    </row>
    <row r="13" spans="1:29" x14ac:dyDescent="0.3">
      <c r="A13" s="1" t="s">
        <v>52</v>
      </c>
      <c r="B13" s="1" t="s">
        <v>53</v>
      </c>
      <c r="C13" s="1" t="s">
        <v>47</v>
      </c>
      <c r="D13" s="1" t="s">
        <v>23</v>
      </c>
      <c r="E13" s="1" t="s">
        <v>30</v>
      </c>
      <c r="F13" s="1" t="s">
        <v>31</v>
      </c>
      <c r="G13" s="1">
        <v>17</v>
      </c>
      <c r="H13" s="1">
        <v>261</v>
      </c>
      <c r="I13" s="1">
        <v>4437</v>
      </c>
      <c r="J13" s="1">
        <v>1840</v>
      </c>
      <c r="K13" s="1">
        <v>2597</v>
      </c>
      <c r="L13" s="1">
        <v>5000</v>
      </c>
      <c r="M13" s="1" t="s">
        <v>26</v>
      </c>
      <c r="N13" s="1" t="s">
        <v>20</v>
      </c>
      <c r="P13" s="29" t="str">
        <f t="shared" si="0"/>
        <v>ORD1188</v>
      </c>
      <c r="Q13" s="29" t="str">
        <f t="shared" si="1"/>
        <v>Ritika Sen</v>
      </c>
      <c r="R13" s="29" t="str">
        <f t="shared" si="2"/>
        <v>Marker Set</v>
      </c>
      <c r="S13" s="29" t="str">
        <f t="shared" si="3"/>
        <v>Stationery</v>
      </c>
      <c r="T13" s="29" t="str">
        <f t="shared" si="4"/>
        <v>South</v>
      </c>
      <c r="U13" s="29" t="str">
        <f t="shared" si="5"/>
        <v>Pooja Dey</v>
      </c>
      <c r="V13" s="29">
        <f t="shared" si="6"/>
        <v>17</v>
      </c>
      <c r="W13" s="29">
        <f t="shared" si="7"/>
        <v>261</v>
      </c>
      <c r="X13" s="29">
        <f t="shared" si="8"/>
        <v>4437</v>
      </c>
      <c r="Y13" s="29">
        <v>1840</v>
      </c>
      <c r="Z13" s="29">
        <f t="shared" si="9"/>
        <v>2597</v>
      </c>
      <c r="AA13" s="29">
        <v>5000</v>
      </c>
      <c r="AB13" s="29" t="s">
        <v>26</v>
      </c>
      <c r="AC13" s="29" t="str">
        <f t="shared" si="10"/>
        <v>Delivered</v>
      </c>
    </row>
    <row r="14" spans="1:29" x14ac:dyDescent="0.3">
      <c r="A14" s="1" t="s">
        <v>54</v>
      </c>
      <c r="B14" s="1" t="s">
        <v>55</v>
      </c>
      <c r="C14" s="1" t="s">
        <v>56</v>
      </c>
      <c r="D14" s="1" t="s">
        <v>37</v>
      </c>
      <c r="E14" s="1" t="s">
        <v>17</v>
      </c>
      <c r="F14" s="1" t="s">
        <v>18</v>
      </c>
      <c r="G14" s="1">
        <v>1</v>
      </c>
      <c r="H14" s="1">
        <v>58300</v>
      </c>
      <c r="I14" s="1">
        <v>58300</v>
      </c>
      <c r="J14" s="1">
        <v>46650</v>
      </c>
      <c r="K14" s="1">
        <v>11650</v>
      </c>
      <c r="L14" s="1">
        <v>65000</v>
      </c>
      <c r="M14" s="1" t="s">
        <v>19</v>
      </c>
      <c r="N14" s="1" t="s">
        <v>20</v>
      </c>
      <c r="P14" s="29" t="str">
        <f t="shared" si="0"/>
        <v>ORD1171</v>
      </c>
      <c r="Q14" s="29" t="str">
        <f t="shared" si="1"/>
        <v>Ankit Das</v>
      </c>
      <c r="R14" s="29" t="str">
        <f t="shared" si="2"/>
        <v>Laptop</v>
      </c>
      <c r="S14" s="29" t="str">
        <f t="shared" si="3"/>
        <v>Electronics</v>
      </c>
      <c r="T14" s="29" t="str">
        <f t="shared" si="4"/>
        <v>West</v>
      </c>
      <c r="U14" s="29" t="str">
        <f t="shared" si="5"/>
        <v>Amit Paul</v>
      </c>
      <c r="V14" s="29">
        <f t="shared" si="6"/>
        <v>1</v>
      </c>
      <c r="W14" s="29">
        <f t="shared" si="7"/>
        <v>58300</v>
      </c>
      <c r="X14" s="29">
        <f t="shared" si="8"/>
        <v>58300</v>
      </c>
      <c r="Y14" s="29">
        <v>46650</v>
      </c>
      <c r="Z14" s="29">
        <f t="shared" si="9"/>
        <v>11650</v>
      </c>
      <c r="AA14" s="29">
        <v>65000</v>
      </c>
      <c r="AB14" s="29" t="s">
        <v>19</v>
      </c>
      <c r="AC14" s="29" t="str">
        <f t="shared" si="10"/>
        <v>Delivered</v>
      </c>
    </row>
    <row r="15" spans="1:29" x14ac:dyDescent="0.3">
      <c r="A15" s="1" t="s">
        <v>57</v>
      </c>
      <c r="B15" s="1" t="s">
        <v>58</v>
      </c>
      <c r="C15" s="1" t="s">
        <v>40</v>
      </c>
      <c r="D15" s="1" t="s">
        <v>16</v>
      </c>
      <c r="E15" s="1" t="s">
        <v>17</v>
      </c>
      <c r="F15" s="1" t="s">
        <v>18</v>
      </c>
      <c r="G15" s="1">
        <v>2</v>
      </c>
      <c r="H15" s="1">
        <v>6820</v>
      </c>
      <c r="I15" s="1">
        <v>13640</v>
      </c>
      <c r="J15" s="1">
        <v>10100</v>
      </c>
      <c r="K15" s="1">
        <v>3540</v>
      </c>
      <c r="L15" s="1">
        <v>15000</v>
      </c>
      <c r="M15" s="1" t="s">
        <v>28</v>
      </c>
      <c r="N15" s="1" t="s">
        <v>20</v>
      </c>
      <c r="P15" s="29" t="str">
        <f t="shared" si="0"/>
        <v>ORD1127</v>
      </c>
      <c r="Q15" s="29" t="str">
        <f t="shared" si="1"/>
        <v>Aniket Das</v>
      </c>
      <c r="R15" s="29" t="str">
        <f t="shared" si="2"/>
        <v>Office Chair</v>
      </c>
      <c r="S15" s="29" t="str">
        <f t="shared" si="3"/>
        <v>Furniture</v>
      </c>
      <c r="T15" s="29" t="str">
        <f t="shared" si="4"/>
        <v>West</v>
      </c>
      <c r="U15" s="29" t="str">
        <f t="shared" si="5"/>
        <v>Amit Paul</v>
      </c>
      <c r="V15" s="29">
        <f t="shared" si="6"/>
        <v>2</v>
      </c>
      <c r="W15" s="29">
        <f t="shared" si="7"/>
        <v>6820</v>
      </c>
      <c r="X15" s="29">
        <f t="shared" si="8"/>
        <v>13640</v>
      </c>
      <c r="Y15" s="29">
        <v>10100</v>
      </c>
      <c r="Z15" s="29">
        <f t="shared" si="9"/>
        <v>3540</v>
      </c>
      <c r="AA15" s="29">
        <v>15000</v>
      </c>
      <c r="AB15" s="29" t="s">
        <v>28</v>
      </c>
      <c r="AC15" s="29" t="str">
        <f t="shared" si="10"/>
        <v>Delivered</v>
      </c>
    </row>
    <row r="16" spans="1:29" x14ac:dyDescent="0.3">
      <c r="A16" s="1" t="s">
        <v>59</v>
      </c>
      <c r="B16" s="1" t="s">
        <v>60</v>
      </c>
      <c r="C16" s="1" t="s">
        <v>22</v>
      </c>
      <c r="D16" s="1" t="s">
        <v>23</v>
      </c>
      <c r="E16" s="1" t="s">
        <v>30</v>
      </c>
      <c r="F16" s="1" t="s">
        <v>31</v>
      </c>
      <c r="G16" s="1">
        <v>30</v>
      </c>
      <c r="H16" s="1">
        <v>140</v>
      </c>
      <c r="I16" s="1">
        <v>4200</v>
      </c>
      <c r="J16" s="1">
        <v>1800</v>
      </c>
      <c r="K16" s="1">
        <v>2400</v>
      </c>
      <c r="L16" s="1">
        <v>5000</v>
      </c>
      <c r="M16" s="1" t="s">
        <v>26</v>
      </c>
      <c r="N16" s="1" t="s">
        <v>20</v>
      </c>
      <c r="P16" s="29" t="str">
        <f t="shared" si="0"/>
        <v>ORD1016</v>
      </c>
      <c r="Q16" s="29" t="str">
        <f t="shared" si="1"/>
        <v>Trisha Dey</v>
      </c>
      <c r="R16" s="29" t="str">
        <f t="shared" si="2"/>
        <v>Pen Pack</v>
      </c>
      <c r="S16" s="29" t="str">
        <f t="shared" si="3"/>
        <v>Stationery</v>
      </c>
      <c r="T16" s="29" t="str">
        <f t="shared" si="4"/>
        <v>South</v>
      </c>
      <c r="U16" s="29" t="str">
        <f t="shared" si="5"/>
        <v>Pooja Dey</v>
      </c>
      <c r="V16" s="29">
        <f t="shared" si="6"/>
        <v>30</v>
      </c>
      <c r="W16" s="29">
        <f t="shared" si="7"/>
        <v>140</v>
      </c>
      <c r="X16" s="29">
        <f t="shared" si="8"/>
        <v>4200</v>
      </c>
      <c r="Y16" s="29">
        <v>1800</v>
      </c>
      <c r="Z16" s="29">
        <f t="shared" si="9"/>
        <v>2400</v>
      </c>
      <c r="AA16" s="29">
        <v>5000</v>
      </c>
      <c r="AB16" s="29" t="s">
        <v>26</v>
      </c>
      <c r="AC16" s="29" t="str">
        <f t="shared" si="10"/>
        <v>Delivered</v>
      </c>
    </row>
    <row r="17" spans="1:29" x14ac:dyDescent="0.3">
      <c r="A17" s="1" t="s">
        <v>61</v>
      </c>
      <c r="B17" s="1" t="s">
        <v>62</v>
      </c>
      <c r="C17" s="1" t="s">
        <v>22</v>
      </c>
      <c r="D17" s="1" t="s">
        <v>23</v>
      </c>
      <c r="E17" s="1" t="s">
        <v>41</v>
      </c>
      <c r="F17" s="1" t="s">
        <v>42</v>
      </c>
      <c r="G17" s="1">
        <v>29</v>
      </c>
      <c r="H17" s="1">
        <v>149</v>
      </c>
      <c r="I17" s="1">
        <v>4321</v>
      </c>
      <c r="J17" s="1">
        <v>1800</v>
      </c>
      <c r="K17" s="1">
        <v>2521</v>
      </c>
      <c r="L17" s="1">
        <v>5000</v>
      </c>
      <c r="M17" s="1" t="s">
        <v>26</v>
      </c>
      <c r="N17" s="1" t="s">
        <v>20</v>
      </c>
      <c r="P17" s="29" t="str">
        <f t="shared" si="0"/>
        <v>ORD1074</v>
      </c>
      <c r="Q17" s="29" t="str">
        <f t="shared" si="1"/>
        <v>Diya Sharma</v>
      </c>
      <c r="R17" s="29" t="str">
        <f t="shared" si="2"/>
        <v>Pen Pack</v>
      </c>
      <c r="S17" s="29" t="str">
        <f t="shared" si="3"/>
        <v>Stationery</v>
      </c>
      <c r="T17" s="29" t="str">
        <f t="shared" si="4"/>
        <v>North</v>
      </c>
      <c r="U17" s="29" t="str">
        <f t="shared" si="5"/>
        <v>Sneha Roy</v>
      </c>
      <c r="V17" s="29">
        <f t="shared" si="6"/>
        <v>29</v>
      </c>
      <c r="W17" s="29">
        <f t="shared" si="7"/>
        <v>149</v>
      </c>
      <c r="X17" s="29">
        <f t="shared" si="8"/>
        <v>4321</v>
      </c>
      <c r="Y17" s="29">
        <v>1800</v>
      </c>
      <c r="Z17" s="29">
        <f t="shared" si="9"/>
        <v>2521</v>
      </c>
      <c r="AA17" s="29">
        <v>5000</v>
      </c>
      <c r="AB17" s="29" t="s">
        <v>26</v>
      </c>
      <c r="AC17" s="29" t="str">
        <f t="shared" si="10"/>
        <v>Delivered</v>
      </c>
    </row>
    <row r="18" spans="1:29" x14ac:dyDescent="0.3">
      <c r="A18" s="1" t="s">
        <v>63</v>
      </c>
      <c r="B18" s="1" t="s">
        <v>64</v>
      </c>
      <c r="C18" s="1" t="s">
        <v>15</v>
      </c>
      <c r="D18" s="1" t="s">
        <v>16</v>
      </c>
      <c r="E18" s="1" t="s">
        <v>41</v>
      </c>
      <c r="F18" s="1" t="s">
        <v>42</v>
      </c>
      <c r="G18" s="1">
        <v>1</v>
      </c>
      <c r="H18" s="1">
        <v>9480</v>
      </c>
      <c r="I18" s="1">
        <v>9480</v>
      </c>
      <c r="J18" s="1">
        <v>7100</v>
      </c>
      <c r="K18" s="1">
        <v>2380</v>
      </c>
      <c r="L18" s="1">
        <v>12000</v>
      </c>
      <c r="M18" s="1" t="s">
        <v>28</v>
      </c>
      <c r="N18" s="1" t="s">
        <v>20</v>
      </c>
      <c r="P18" s="29" t="str">
        <f t="shared" si="0"/>
        <v>ORD1166</v>
      </c>
      <c r="Q18" s="29" t="str">
        <f t="shared" si="1"/>
        <v>Nandini Roy</v>
      </c>
      <c r="R18" s="29" t="str">
        <f t="shared" si="2"/>
        <v>Desk</v>
      </c>
      <c r="S18" s="29" t="str">
        <f t="shared" si="3"/>
        <v>Furniture</v>
      </c>
      <c r="T18" s="29" t="str">
        <f t="shared" si="4"/>
        <v>North</v>
      </c>
      <c r="U18" s="29" t="str">
        <f t="shared" si="5"/>
        <v>Sneha Roy</v>
      </c>
      <c r="V18" s="29">
        <f t="shared" si="6"/>
        <v>1</v>
      </c>
      <c r="W18" s="29">
        <f t="shared" si="7"/>
        <v>9480</v>
      </c>
      <c r="X18" s="29">
        <f t="shared" si="8"/>
        <v>9480</v>
      </c>
      <c r="Y18" s="29">
        <v>7100</v>
      </c>
      <c r="Z18" s="29">
        <f t="shared" si="9"/>
        <v>2380</v>
      </c>
      <c r="AA18" s="29">
        <v>12000</v>
      </c>
      <c r="AB18" s="29" t="s">
        <v>28</v>
      </c>
      <c r="AC18" s="29" t="str">
        <f t="shared" si="10"/>
        <v>Delivered</v>
      </c>
    </row>
    <row r="19" spans="1:29" x14ac:dyDescent="0.3">
      <c r="A19" s="1" t="s">
        <v>65</v>
      </c>
      <c r="B19" s="1" t="s">
        <v>66</v>
      </c>
      <c r="C19" s="1" t="s">
        <v>47</v>
      </c>
      <c r="D19" s="1" t="s">
        <v>23</v>
      </c>
      <c r="E19" s="1" t="s">
        <v>17</v>
      </c>
      <c r="F19" s="1" t="s">
        <v>18</v>
      </c>
      <c r="G19" s="1">
        <v>18</v>
      </c>
      <c r="H19" s="1">
        <v>240</v>
      </c>
      <c r="I19" s="1">
        <v>4320</v>
      </c>
      <c r="J19" s="1">
        <v>1900</v>
      </c>
      <c r="K19" s="1">
        <v>2420</v>
      </c>
      <c r="L19" s="1">
        <v>5000</v>
      </c>
      <c r="M19" s="1" t="s">
        <v>26</v>
      </c>
      <c r="N19" s="1" t="s">
        <v>20</v>
      </c>
      <c r="P19" s="29" t="str">
        <f t="shared" si="0"/>
        <v>ORD1019</v>
      </c>
      <c r="Q19" s="29" t="str">
        <f t="shared" si="1"/>
        <v>Ayush Verma</v>
      </c>
      <c r="R19" s="29" t="str">
        <f t="shared" si="2"/>
        <v>Marker Set</v>
      </c>
      <c r="S19" s="29" t="str">
        <f t="shared" si="3"/>
        <v>Stationery</v>
      </c>
      <c r="T19" s="29" t="str">
        <f t="shared" si="4"/>
        <v>West</v>
      </c>
      <c r="U19" s="29" t="str">
        <f t="shared" si="5"/>
        <v>Amit Paul</v>
      </c>
      <c r="V19" s="29">
        <f t="shared" si="6"/>
        <v>18</v>
      </c>
      <c r="W19" s="29">
        <f t="shared" si="7"/>
        <v>240</v>
      </c>
      <c r="X19" s="29">
        <f t="shared" si="8"/>
        <v>4320</v>
      </c>
      <c r="Y19" s="29">
        <v>1900</v>
      </c>
      <c r="Z19" s="29">
        <f t="shared" si="9"/>
        <v>2420</v>
      </c>
      <c r="AA19" s="29">
        <v>5000</v>
      </c>
      <c r="AB19" s="29" t="s">
        <v>26</v>
      </c>
      <c r="AC19" s="29" t="str">
        <f t="shared" si="10"/>
        <v>Delivered</v>
      </c>
    </row>
    <row r="20" spans="1:29" x14ac:dyDescent="0.3">
      <c r="A20" s="1" t="s">
        <v>67</v>
      </c>
      <c r="B20" s="1" t="s">
        <v>68</v>
      </c>
      <c r="C20" s="1" t="s">
        <v>33</v>
      </c>
      <c r="D20" s="1" t="s">
        <v>16</v>
      </c>
      <c r="E20" s="1" t="s">
        <v>24</v>
      </c>
      <c r="F20" s="1" t="s">
        <v>25</v>
      </c>
      <c r="G20" s="1">
        <v>1</v>
      </c>
      <c r="H20" s="1">
        <v>11390</v>
      </c>
      <c r="I20" s="1">
        <v>11390</v>
      </c>
      <c r="J20" s="1">
        <v>8650</v>
      </c>
      <c r="K20" s="1">
        <v>2740</v>
      </c>
      <c r="L20" s="1">
        <v>13500</v>
      </c>
      <c r="M20" s="1" t="s">
        <v>28</v>
      </c>
      <c r="N20" s="1" t="s">
        <v>20</v>
      </c>
      <c r="P20" s="29" t="str">
        <f t="shared" si="0"/>
        <v>ORD1169</v>
      </c>
      <c r="Q20" s="29" t="str">
        <f t="shared" si="1"/>
        <v>Rahul Jain</v>
      </c>
      <c r="R20" s="29" t="str">
        <f t="shared" si="2"/>
        <v>Bookshelf</v>
      </c>
      <c r="S20" s="29" t="str">
        <f t="shared" si="3"/>
        <v>Furniture</v>
      </c>
      <c r="T20" s="29" t="str">
        <f t="shared" si="4"/>
        <v>East</v>
      </c>
      <c r="U20" s="29" t="str">
        <f t="shared" si="5"/>
        <v>Rahul Das</v>
      </c>
      <c r="V20" s="29">
        <f t="shared" si="6"/>
        <v>1</v>
      </c>
      <c r="W20" s="29">
        <f t="shared" si="7"/>
        <v>11390</v>
      </c>
      <c r="X20" s="29">
        <f t="shared" si="8"/>
        <v>11390</v>
      </c>
      <c r="Y20" s="29">
        <v>8650</v>
      </c>
      <c r="Z20" s="29">
        <f t="shared" si="9"/>
        <v>2740</v>
      </c>
      <c r="AA20" s="29">
        <v>13500</v>
      </c>
      <c r="AB20" s="29" t="s">
        <v>28</v>
      </c>
      <c r="AC20" s="29" t="str">
        <f t="shared" si="10"/>
        <v>Delivered</v>
      </c>
    </row>
    <row r="21" spans="1:29" x14ac:dyDescent="0.3">
      <c r="A21" s="1" t="s">
        <v>69</v>
      </c>
      <c r="B21" s="1" t="s">
        <v>70</v>
      </c>
      <c r="C21" s="1" t="s">
        <v>15</v>
      </c>
      <c r="D21" s="1" t="s">
        <v>16</v>
      </c>
      <c r="E21" s="1" t="s">
        <v>41</v>
      </c>
      <c r="F21" s="1" t="s">
        <v>42</v>
      </c>
      <c r="G21" s="1">
        <v>1</v>
      </c>
      <c r="H21" s="1">
        <v>9550</v>
      </c>
      <c r="I21" s="1">
        <v>9550</v>
      </c>
      <c r="J21" s="1">
        <v>7200</v>
      </c>
      <c r="K21" s="1">
        <v>2350</v>
      </c>
      <c r="L21" s="1">
        <v>12000</v>
      </c>
      <c r="M21" s="1" t="s">
        <v>28</v>
      </c>
      <c r="N21" s="1" t="s">
        <v>20</v>
      </c>
      <c r="P21" s="29" t="str">
        <f t="shared" si="0"/>
        <v>ORD1094</v>
      </c>
      <c r="Q21" s="29" t="str">
        <f t="shared" si="1"/>
        <v>Snehal Ghosh</v>
      </c>
      <c r="R21" s="29" t="str">
        <f t="shared" si="2"/>
        <v>Desk</v>
      </c>
      <c r="S21" s="29" t="str">
        <f t="shared" si="3"/>
        <v>Furniture</v>
      </c>
      <c r="T21" s="29" t="str">
        <f t="shared" si="4"/>
        <v>North</v>
      </c>
      <c r="U21" s="29" t="str">
        <f t="shared" si="5"/>
        <v>Sneha Roy</v>
      </c>
      <c r="V21" s="29">
        <f t="shared" si="6"/>
        <v>1</v>
      </c>
      <c r="W21" s="29">
        <f t="shared" si="7"/>
        <v>9550</v>
      </c>
      <c r="X21" s="29">
        <f t="shared" si="8"/>
        <v>9550</v>
      </c>
      <c r="Y21" s="29">
        <v>7200</v>
      </c>
      <c r="Z21" s="29">
        <f t="shared" si="9"/>
        <v>2350</v>
      </c>
      <c r="AA21" s="29">
        <v>12000</v>
      </c>
      <c r="AB21" s="29" t="s">
        <v>28</v>
      </c>
      <c r="AC21" s="29" t="str">
        <f t="shared" si="10"/>
        <v>Delivered</v>
      </c>
    </row>
    <row r="22" spans="1:29" x14ac:dyDescent="0.3">
      <c r="A22" s="1" t="s">
        <v>71</v>
      </c>
      <c r="B22" s="1" t="s">
        <v>72</v>
      </c>
      <c r="C22" s="1" t="s">
        <v>15</v>
      </c>
      <c r="D22" s="1" t="s">
        <v>16</v>
      </c>
      <c r="E22" s="1" t="s">
        <v>30</v>
      </c>
      <c r="F22" s="1" t="s">
        <v>31</v>
      </c>
      <c r="G22" s="1">
        <v>3</v>
      </c>
      <c r="H22" s="1">
        <v>9050</v>
      </c>
      <c r="I22" s="1">
        <v>27150</v>
      </c>
      <c r="J22" s="1">
        <v>19900</v>
      </c>
      <c r="K22" s="1">
        <v>7250</v>
      </c>
      <c r="L22" s="1">
        <v>30000</v>
      </c>
      <c r="M22" s="1" t="s">
        <v>28</v>
      </c>
      <c r="N22" s="1" t="s">
        <v>20</v>
      </c>
      <c r="P22" s="29" t="str">
        <f t="shared" si="0"/>
        <v>ORD1076</v>
      </c>
      <c r="Q22" s="29" t="str">
        <f t="shared" si="1"/>
        <v>Poulomi Sen</v>
      </c>
      <c r="R22" s="29" t="str">
        <f t="shared" si="2"/>
        <v>Desk</v>
      </c>
      <c r="S22" s="29" t="str">
        <f t="shared" si="3"/>
        <v>Furniture</v>
      </c>
      <c r="T22" s="29" t="str">
        <f t="shared" si="4"/>
        <v>South</v>
      </c>
      <c r="U22" s="29" t="str">
        <f t="shared" si="5"/>
        <v>Pooja Dey</v>
      </c>
      <c r="V22" s="29">
        <f t="shared" si="6"/>
        <v>3</v>
      </c>
      <c r="W22" s="29">
        <f t="shared" si="7"/>
        <v>9050</v>
      </c>
      <c r="X22" s="29">
        <f t="shared" si="8"/>
        <v>27150</v>
      </c>
      <c r="Y22" s="29">
        <v>19900</v>
      </c>
      <c r="Z22" s="29">
        <f t="shared" si="9"/>
        <v>7250</v>
      </c>
      <c r="AA22" s="29">
        <v>30000</v>
      </c>
      <c r="AB22" s="29" t="s">
        <v>28</v>
      </c>
      <c r="AC22" s="29" t="str">
        <f t="shared" si="10"/>
        <v>Delivered</v>
      </c>
    </row>
    <row r="23" spans="1:29" x14ac:dyDescent="0.3">
      <c r="A23" s="1" t="s">
        <v>73</v>
      </c>
      <c r="B23" s="1" t="s">
        <v>74</v>
      </c>
      <c r="C23" s="1" t="s">
        <v>22</v>
      </c>
      <c r="D23" s="1" t="s">
        <v>23</v>
      </c>
      <c r="E23" s="1" t="s">
        <v>30</v>
      </c>
      <c r="F23" s="1" t="s">
        <v>31</v>
      </c>
      <c r="G23" s="1">
        <v>32</v>
      </c>
      <c r="H23" s="1">
        <v>148</v>
      </c>
      <c r="I23" s="1">
        <v>4736</v>
      </c>
      <c r="J23" s="1">
        <v>2000</v>
      </c>
      <c r="K23" s="1">
        <v>2736</v>
      </c>
      <c r="L23" s="1">
        <v>5200</v>
      </c>
      <c r="M23" s="1" t="s">
        <v>26</v>
      </c>
      <c r="N23" s="1" t="s">
        <v>20</v>
      </c>
      <c r="P23" s="29" t="str">
        <f t="shared" si="0"/>
        <v>ORD1056</v>
      </c>
      <c r="Q23" s="29" t="str">
        <f t="shared" si="1"/>
        <v>Anusha Dey</v>
      </c>
      <c r="R23" s="29" t="str">
        <f t="shared" si="2"/>
        <v>Pen Pack</v>
      </c>
      <c r="S23" s="29" t="str">
        <f t="shared" si="3"/>
        <v>Stationery</v>
      </c>
      <c r="T23" s="29" t="str">
        <f t="shared" si="4"/>
        <v>South</v>
      </c>
      <c r="U23" s="29" t="str">
        <f t="shared" si="5"/>
        <v>Pooja Dey</v>
      </c>
      <c r="V23" s="29">
        <f t="shared" si="6"/>
        <v>32</v>
      </c>
      <c r="W23" s="29">
        <f t="shared" si="7"/>
        <v>148</v>
      </c>
      <c r="X23" s="29">
        <f t="shared" si="8"/>
        <v>4736</v>
      </c>
      <c r="Y23" s="29">
        <v>2000</v>
      </c>
      <c r="Z23" s="29">
        <f t="shared" si="9"/>
        <v>2736</v>
      </c>
      <c r="AA23" s="29">
        <v>5200</v>
      </c>
      <c r="AB23" s="29" t="s">
        <v>26</v>
      </c>
      <c r="AC23" s="29" t="str">
        <f t="shared" si="10"/>
        <v>Delivered</v>
      </c>
    </row>
    <row r="24" spans="1:29" x14ac:dyDescent="0.3">
      <c r="A24" s="1" t="s">
        <v>75</v>
      </c>
      <c r="B24" s="1" t="s">
        <v>76</v>
      </c>
      <c r="C24" s="1" t="s">
        <v>15</v>
      </c>
      <c r="D24" s="1" t="s">
        <v>16</v>
      </c>
      <c r="E24" s="1" t="s">
        <v>30</v>
      </c>
      <c r="F24" s="1" t="s">
        <v>31</v>
      </c>
      <c r="G24" s="1">
        <v>2</v>
      </c>
      <c r="H24" s="1">
        <v>9420</v>
      </c>
      <c r="I24" s="1">
        <v>18840</v>
      </c>
      <c r="J24" s="1">
        <v>14020</v>
      </c>
      <c r="K24" s="1">
        <v>4820</v>
      </c>
      <c r="L24" s="1">
        <v>21000</v>
      </c>
      <c r="M24" s="1" t="s">
        <v>28</v>
      </c>
      <c r="N24" s="1" t="s">
        <v>20</v>
      </c>
      <c r="P24" s="29" t="str">
        <f t="shared" si="0"/>
        <v>ORD1148</v>
      </c>
      <c r="Q24" s="29" t="str">
        <f t="shared" si="1"/>
        <v>Riya Dutta</v>
      </c>
      <c r="R24" s="29" t="str">
        <f t="shared" si="2"/>
        <v>Desk</v>
      </c>
      <c r="S24" s="29" t="str">
        <f t="shared" si="3"/>
        <v>Furniture</v>
      </c>
      <c r="T24" s="29" t="str">
        <f t="shared" si="4"/>
        <v>South</v>
      </c>
      <c r="U24" s="29" t="str">
        <f t="shared" si="5"/>
        <v>Pooja Dey</v>
      </c>
      <c r="V24" s="29">
        <f t="shared" si="6"/>
        <v>2</v>
      </c>
      <c r="W24" s="29">
        <f t="shared" si="7"/>
        <v>9420</v>
      </c>
      <c r="X24" s="29">
        <f t="shared" si="8"/>
        <v>18840</v>
      </c>
      <c r="Y24" s="29">
        <v>14020</v>
      </c>
      <c r="Z24" s="29">
        <f t="shared" si="9"/>
        <v>4820</v>
      </c>
      <c r="AA24" s="29">
        <v>21000</v>
      </c>
      <c r="AB24" s="29" t="s">
        <v>28</v>
      </c>
      <c r="AC24" s="29" t="str">
        <f t="shared" si="10"/>
        <v>Delivered</v>
      </c>
    </row>
    <row r="25" spans="1:29" x14ac:dyDescent="0.3">
      <c r="A25" s="1" t="s">
        <v>77</v>
      </c>
      <c r="B25" s="1" t="s">
        <v>78</v>
      </c>
      <c r="C25" s="1" t="s">
        <v>22</v>
      </c>
      <c r="D25" s="1" t="s">
        <v>23</v>
      </c>
      <c r="E25" s="1" t="s">
        <v>41</v>
      </c>
      <c r="F25" s="1" t="s">
        <v>42</v>
      </c>
      <c r="G25" s="1">
        <v>30</v>
      </c>
      <c r="H25" s="1">
        <v>147</v>
      </c>
      <c r="I25" s="1">
        <v>4410</v>
      </c>
      <c r="J25" s="1">
        <v>1820</v>
      </c>
      <c r="K25" s="1">
        <v>2590</v>
      </c>
      <c r="L25" s="1">
        <v>5000</v>
      </c>
      <c r="M25" s="1" t="s">
        <v>26</v>
      </c>
      <c r="N25" s="1" t="s">
        <v>20</v>
      </c>
      <c r="P25" s="29" t="str">
        <f t="shared" si="0"/>
        <v>ORD1110</v>
      </c>
      <c r="Q25" s="29" t="str">
        <f t="shared" si="1"/>
        <v>Trisha Roy</v>
      </c>
      <c r="R25" s="29" t="str">
        <f t="shared" si="2"/>
        <v>Pen Pack</v>
      </c>
      <c r="S25" s="29" t="str">
        <f t="shared" si="3"/>
        <v>Stationery</v>
      </c>
      <c r="T25" s="29" t="str">
        <f t="shared" si="4"/>
        <v>North</v>
      </c>
      <c r="U25" s="29" t="str">
        <f t="shared" si="5"/>
        <v>Sneha Roy</v>
      </c>
      <c r="V25" s="29">
        <f t="shared" si="6"/>
        <v>30</v>
      </c>
      <c r="W25" s="29">
        <f t="shared" si="7"/>
        <v>147</v>
      </c>
      <c r="X25" s="29">
        <f t="shared" si="8"/>
        <v>4410</v>
      </c>
      <c r="Y25" s="29">
        <v>1820</v>
      </c>
      <c r="Z25" s="29">
        <f t="shared" si="9"/>
        <v>2590</v>
      </c>
      <c r="AA25" s="29">
        <v>5000</v>
      </c>
      <c r="AB25" s="29" t="s">
        <v>26</v>
      </c>
      <c r="AC25" s="29" t="str">
        <f t="shared" si="10"/>
        <v>Delivered</v>
      </c>
    </row>
    <row r="26" spans="1:29" x14ac:dyDescent="0.3">
      <c r="A26" s="1" t="s">
        <v>79</v>
      </c>
      <c r="B26" s="1" t="s">
        <v>80</v>
      </c>
      <c r="C26" s="1" t="s">
        <v>40</v>
      </c>
      <c r="D26" s="1" t="s">
        <v>16</v>
      </c>
      <c r="E26" s="1" t="s">
        <v>24</v>
      </c>
      <c r="F26" s="1" t="s">
        <v>25</v>
      </c>
      <c r="G26" s="1">
        <v>3</v>
      </c>
      <c r="H26" s="1">
        <v>6780</v>
      </c>
      <c r="I26" s="1">
        <v>20340</v>
      </c>
      <c r="J26" s="1">
        <v>15000</v>
      </c>
      <c r="K26" s="1">
        <v>5340</v>
      </c>
      <c r="L26" s="1">
        <v>23000</v>
      </c>
      <c r="M26" s="1" t="s">
        <v>28</v>
      </c>
      <c r="N26" s="1" t="s">
        <v>43</v>
      </c>
      <c r="P26" s="29" t="str">
        <f t="shared" si="0"/>
        <v>ORD1109</v>
      </c>
      <c r="Q26" s="29" t="str">
        <f t="shared" si="1"/>
        <v>Debashis Pal</v>
      </c>
      <c r="R26" s="29" t="str">
        <f t="shared" si="2"/>
        <v>Office Chair</v>
      </c>
      <c r="S26" s="29" t="str">
        <f t="shared" si="3"/>
        <v>Furniture</v>
      </c>
      <c r="T26" s="29" t="str">
        <f t="shared" si="4"/>
        <v>East</v>
      </c>
      <c r="U26" s="29" t="str">
        <f t="shared" si="5"/>
        <v>Rahul Das</v>
      </c>
      <c r="V26" s="29">
        <f t="shared" si="6"/>
        <v>3</v>
      </c>
      <c r="W26" s="29">
        <f t="shared" si="7"/>
        <v>6780</v>
      </c>
      <c r="X26" s="29">
        <f t="shared" si="8"/>
        <v>20340</v>
      </c>
      <c r="Y26" s="29">
        <v>15000</v>
      </c>
      <c r="Z26" s="29">
        <f t="shared" si="9"/>
        <v>5340</v>
      </c>
      <c r="AA26" s="29">
        <v>23000</v>
      </c>
      <c r="AB26" s="29" t="s">
        <v>28</v>
      </c>
      <c r="AC26" s="29" t="str">
        <f t="shared" si="10"/>
        <v>Pending</v>
      </c>
    </row>
    <row r="27" spans="1:29" x14ac:dyDescent="0.3">
      <c r="A27" s="1" t="s">
        <v>81</v>
      </c>
      <c r="B27" s="1" t="s">
        <v>82</v>
      </c>
      <c r="C27" s="1" t="s">
        <v>47</v>
      </c>
      <c r="D27" s="1" t="s">
        <v>23</v>
      </c>
      <c r="E27" s="1" t="s">
        <v>17</v>
      </c>
      <c r="F27" s="1" t="s">
        <v>18</v>
      </c>
      <c r="G27" s="1">
        <v>22</v>
      </c>
      <c r="H27" s="1">
        <v>251</v>
      </c>
      <c r="I27" s="1">
        <v>5522</v>
      </c>
      <c r="J27" s="1">
        <v>2280</v>
      </c>
      <c r="K27" s="1">
        <v>3242</v>
      </c>
      <c r="L27" s="1">
        <v>6000</v>
      </c>
      <c r="M27" s="1" t="s">
        <v>26</v>
      </c>
      <c r="N27" s="1" t="s">
        <v>20</v>
      </c>
      <c r="P27" s="29" t="str">
        <f t="shared" si="0"/>
        <v>ORD1143</v>
      </c>
      <c r="Q27" s="29" t="str">
        <f t="shared" si="1"/>
        <v>Rohan Dasgupta</v>
      </c>
      <c r="R27" s="29" t="str">
        <f t="shared" si="2"/>
        <v>Marker Set</v>
      </c>
      <c r="S27" s="29" t="str">
        <f t="shared" si="3"/>
        <v>Stationery</v>
      </c>
      <c r="T27" s="29" t="str">
        <f t="shared" si="4"/>
        <v>West</v>
      </c>
      <c r="U27" s="29" t="str">
        <f t="shared" si="5"/>
        <v>Amit Paul</v>
      </c>
      <c r="V27" s="29">
        <f t="shared" si="6"/>
        <v>22</v>
      </c>
      <c r="W27" s="29">
        <f t="shared" si="7"/>
        <v>251</v>
      </c>
      <c r="X27" s="29">
        <f t="shared" si="8"/>
        <v>5522</v>
      </c>
      <c r="Y27" s="29">
        <v>2280</v>
      </c>
      <c r="Z27" s="29">
        <f t="shared" si="9"/>
        <v>3242</v>
      </c>
      <c r="AA27" s="29">
        <v>6000</v>
      </c>
      <c r="AB27" s="29" t="s">
        <v>26</v>
      </c>
      <c r="AC27" s="29" t="str">
        <f t="shared" si="10"/>
        <v>Delivered</v>
      </c>
    </row>
    <row r="28" spans="1:29" x14ac:dyDescent="0.3">
      <c r="A28" s="1" t="s">
        <v>83</v>
      </c>
      <c r="B28" s="1" t="s">
        <v>76</v>
      </c>
      <c r="C28" s="1" t="s">
        <v>47</v>
      </c>
      <c r="D28" s="1" t="s">
        <v>23</v>
      </c>
      <c r="E28" s="1" t="s">
        <v>41</v>
      </c>
      <c r="F28" s="1" t="s">
        <v>42</v>
      </c>
      <c r="G28" s="1">
        <v>15</v>
      </c>
      <c r="H28" s="1">
        <v>260</v>
      </c>
      <c r="I28" s="1">
        <v>3900</v>
      </c>
      <c r="J28" s="1">
        <v>1700</v>
      </c>
      <c r="K28" s="1">
        <v>2200</v>
      </c>
      <c r="L28" s="1">
        <v>4500</v>
      </c>
      <c r="M28" s="1" t="s">
        <v>28</v>
      </c>
      <c r="N28" s="1" t="s">
        <v>20</v>
      </c>
      <c r="P28" s="29" t="str">
        <f t="shared" si="0"/>
        <v>ORD1026</v>
      </c>
      <c r="Q28" s="29" t="str">
        <f t="shared" si="1"/>
        <v>Riya Dutta</v>
      </c>
      <c r="R28" s="29" t="str">
        <f t="shared" si="2"/>
        <v>Marker Set</v>
      </c>
      <c r="S28" s="29" t="str">
        <f t="shared" si="3"/>
        <v>Stationery</v>
      </c>
      <c r="T28" s="29" t="str">
        <f t="shared" si="4"/>
        <v>North</v>
      </c>
      <c r="U28" s="29" t="str">
        <f t="shared" si="5"/>
        <v>Sneha Roy</v>
      </c>
      <c r="V28" s="29">
        <f t="shared" si="6"/>
        <v>15</v>
      </c>
      <c r="W28" s="29">
        <f t="shared" si="7"/>
        <v>260</v>
      </c>
      <c r="X28" s="29">
        <f t="shared" si="8"/>
        <v>3900</v>
      </c>
      <c r="Y28" s="29">
        <v>1700</v>
      </c>
      <c r="Z28" s="29">
        <f t="shared" si="9"/>
        <v>2200</v>
      </c>
      <c r="AA28" s="29">
        <v>4500</v>
      </c>
      <c r="AB28" s="29" t="s">
        <v>28</v>
      </c>
      <c r="AC28" s="29" t="str">
        <f t="shared" si="10"/>
        <v>Delivered</v>
      </c>
    </row>
    <row r="29" spans="1:29" x14ac:dyDescent="0.3">
      <c r="A29" s="1" t="s">
        <v>84</v>
      </c>
      <c r="B29" s="1" t="s">
        <v>85</v>
      </c>
      <c r="C29" s="1" t="s">
        <v>56</v>
      </c>
      <c r="D29" s="1" t="s">
        <v>37</v>
      </c>
      <c r="E29" s="1" t="s">
        <v>41</v>
      </c>
      <c r="F29" s="1" t="s">
        <v>42</v>
      </c>
      <c r="G29" s="1">
        <v>2</v>
      </c>
      <c r="H29" s="1">
        <v>56750</v>
      </c>
      <c r="I29" s="1">
        <v>113500</v>
      </c>
      <c r="J29" s="1">
        <v>94200</v>
      </c>
      <c r="K29" s="1">
        <v>19300</v>
      </c>
      <c r="L29" s="1">
        <v>126000</v>
      </c>
      <c r="M29" s="1" t="s">
        <v>19</v>
      </c>
      <c r="N29" s="1" t="s">
        <v>20</v>
      </c>
      <c r="P29" s="29" t="str">
        <f t="shared" si="0"/>
        <v>ORD1126</v>
      </c>
      <c r="Q29" s="29" t="str">
        <f t="shared" si="1"/>
        <v>Diya Ghosh</v>
      </c>
      <c r="R29" s="29" t="str">
        <f t="shared" si="2"/>
        <v>Laptop</v>
      </c>
      <c r="S29" s="29" t="str">
        <f t="shared" si="3"/>
        <v>Electronics</v>
      </c>
      <c r="T29" s="29" t="str">
        <f t="shared" si="4"/>
        <v>North</v>
      </c>
      <c r="U29" s="29" t="str">
        <f t="shared" si="5"/>
        <v>Sneha Roy</v>
      </c>
      <c r="V29" s="29">
        <f t="shared" si="6"/>
        <v>2</v>
      </c>
      <c r="W29" s="29">
        <f t="shared" si="7"/>
        <v>56750</v>
      </c>
      <c r="X29" s="29">
        <f t="shared" si="8"/>
        <v>113500</v>
      </c>
      <c r="Y29" s="29">
        <v>94200</v>
      </c>
      <c r="Z29" s="29">
        <f t="shared" si="9"/>
        <v>19300</v>
      </c>
      <c r="AA29" s="29">
        <v>126000</v>
      </c>
      <c r="AB29" s="29" t="s">
        <v>19</v>
      </c>
      <c r="AC29" s="29" t="str">
        <f t="shared" si="10"/>
        <v>Delivered</v>
      </c>
    </row>
    <row r="30" spans="1:29" x14ac:dyDescent="0.3">
      <c r="A30" s="1" t="s">
        <v>86</v>
      </c>
      <c r="B30" s="1" t="s">
        <v>87</v>
      </c>
      <c r="C30" s="1" t="s">
        <v>88</v>
      </c>
      <c r="D30" s="1" t="s">
        <v>37</v>
      </c>
      <c r="E30" s="1" t="s">
        <v>24</v>
      </c>
      <c r="F30" s="1" t="s">
        <v>25</v>
      </c>
      <c r="G30" s="1">
        <v>3</v>
      </c>
      <c r="H30" s="1">
        <v>12500</v>
      </c>
      <c r="I30" s="1">
        <v>37500</v>
      </c>
      <c r="J30" s="1">
        <v>29000</v>
      </c>
      <c r="K30" s="1">
        <v>8500</v>
      </c>
      <c r="L30" s="1">
        <v>42000</v>
      </c>
      <c r="M30" s="1" t="s">
        <v>19</v>
      </c>
      <c r="N30" s="1" t="s">
        <v>20</v>
      </c>
      <c r="P30" s="29" t="str">
        <f t="shared" si="0"/>
        <v>ORD1017</v>
      </c>
      <c r="Q30" s="29" t="str">
        <f t="shared" si="1"/>
        <v>Rajiv Ghosh</v>
      </c>
      <c r="R30" s="29" t="str">
        <f t="shared" si="2"/>
        <v>Monitor</v>
      </c>
      <c r="S30" s="29" t="str">
        <f t="shared" si="3"/>
        <v>Electronics</v>
      </c>
      <c r="T30" s="29" t="str">
        <f t="shared" si="4"/>
        <v>East</v>
      </c>
      <c r="U30" s="29" t="str">
        <f t="shared" si="5"/>
        <v>Rahul Das</v>
      </c>
      <c r="V30" s="29">
        <f t="shared" si="6"/>
        <v>3</v>
      </c>
      <c r="W30" s="29">
        <f t="shared" si="7"/>
        <v>12500</v>
      </c>
      <c r="X30" s="29">
        <f t="shared" si="8"/>
        <v>37500</v>
      </c>
      <c r="Y30" s="29">
        <v>29000</v>
      </c>
      <c r="Z30" s="29">
        <f t="shared" si="9"/>
        <v>8500</v>
      </c>
      <c r="AA30" s="29">
        <v>42000</v>
      </c>
      <c r="AB30" s="29" t="s">
        <v>19</v>
      </c>
      <c r="AC30" s="29" t="str">
        <f t="shared" si="10"/>
        <v>Delivered</v>
      </c>
    </row>
    <row r="31" spans="1:29" x14ac:dyDescent="0.3">
      <c r="A31" s="1" t="s">
        <v>89</v>
      </c>
      <c r="B31" s="1" t="s">
        <v>90</v>
      </c>
      <c r="C31" s="1" t="s">
        <v>36</v>
      </c>
      <c r="D31" s="1" t="s">
        <v>37</v>
      </c>
      <c r="E31" s="1" t="s">
        <v>41</v>
      </c>
      <c r="F31" s="1" t="s">
        <v>42</v>
      </c>
      <c r="G31" s="1">
        <v>2</v>
      </c>
      <c r="H31" s="1">
        <v>15340</v>
      </c>
      <c r="I31" s="1">
        <v>30680</v>
      </c>
      <c r="J31" s="1">
        <v>23880</v>
      </c>
      <c r="K31" s="1">
        <v>6800</v>
      </c>
      <c r="L31" s="1">
        <v>34500</v>
      </c>
      <c r="M31" s="1" t="s">
        <v>19</v>
      </c>
      <c r="N31" s="1" t="s">
        <v>20</v>
      </c>
      <c r="P31" s="29" t="str">
        <f t="shared" si="0"/>
        <v>ORD1174</v>
      </c>
      <c r="Q31" s="29" t="str">
        <f t="shared" si="1"/>
        <v>Trisha Ghosh</v>
      </c>
      <c r="R31" s="29" t="str">
        <f t="shared" si="2"/>
        <v>Printer</v>
      </c>
      <c r="S31" s="29" t="str">
        <f t="shared" si="3"/>
        <v>Electronics</v>
      </c>
      <c r="T31" s="29" t="str">
        <f t="shared" si="4"/>
        <v>North</v>
      </c>
      <c r="U31" s="29" t="str">
        <f t="shared" si="5"/>
        <v>Sneha Roy</v>
      </c>
      <c r="V31" s="29">
        <f t="shared" si="6"/>
        <v>2</v>
      </c>
      <c r="W31" s="29">
        <f t="shared" si="7"/>
        <v>15340</v>
      </c>
      <c r="X31" s="29">
        <f t="shared" si="8"/>
        <v>30680</v>
      </c>
      <c r="Y31" s="29">
        <v>23880</v>
      </c>
      <c r="Z31" s="29">
        <f t="shared" si="9"/>
        <v>6800</v>
      </c>
      <c r="AA31" s="29">
        <v>34500</v>
      </c>
      <c r="AB31" s="29" t="s">
        <v>19</v>
      </c>
      <c r="AC31" s="29" t="str">
        <f t="shared" si="10"/>
        <v>Delivered</v>
      </c>
    </row>
    <row r="32" spans="1:29" x14ac:dyDescent="0.3">
      <c r="A32" s="1" t="s">
        <v>91</v>
      </c>
      <c r="B32" s="1" t="s">
        <v>92</v>
      </c>
      <c r="C32" s="1" t="s">
        <v>15</v>
      </c>
      <c r="D32" s="1" t="s">
        <v>16</v>
      </c>
      <c r="E32" s="1" t="s">
        <v>24</v>
      </c>
      <c r="F32" s="1" t="s">
        <v>25</v>
      </c>
      <c r="G32" s="1">
        <v>2</v>
      </c>
      <c r="H32" s="1">
        <v>9440</v>
      </c>
      <c r="I32" s="1">
        <v>18880</v>
      </c>
      <c r="J32" s="1">
        <v>14020</v>
      </c>
      <c r="K32" s="1">
        <v>4860</v>
      </c>
      <c r="L32" s="1">
        <v>21000</v>
      </c>
      <c r="M32" s="1" t="s">
        <v>28</v>
      </c>
      <c r="N32" s="1" t="s">
        <v>20</v>
      </c>
      <c r="P32" s="29" t="str">
        <f t="shared" si="0"/>
        <v>ORD1193</v>
      </c>
      <c r="Q32" s="29" t="str">
        <f t="shared" si="1"/>
        <v>Arjun Das</v>
      </c>
      <c r="R32" s="29" t="str">
        <f t="shared" si="2"/>
        <v>Desk</v>
      </c>
      <c r="S32" s="29" t="str">
        <f t="shared" si="3"/>
        <v>Furniture</v>
      </c>
      <c r="T32" s="29" t="str">
        <f t="shared" si="4"/>
        <v>East</v>
      </c>
      <c r="U32" s="29" t="str">
        <f t="shared" si="5"/>
        <v>Rahul Das</v>
      </c>
      <c r="V32" s="29">
        <f t="shared" si="6"/>
        <v>2</v>
      </c>
      <c r="W32" s="29">
        <f t="shared" si="7"/>
        <v>9440</v>
      </c>
      <c r="X32" s="29">
        <f t="shared" si="8"/>
        <v>18880</v>
      </c>
      <c r="Y32" s="29">
        <v>14020</v>
      </c>
      <c r="Z32" s="29">
        <f t="shared" si="9"/>
        <v>4860</v>
      </c>
      <c r="AA32" s="29">
        <v>21000</v>
      </c>
      <c r="AB32" s="29" t="s">
        <v>28</v>
      </c>
      <c r="AC32" s="29" t="str">
        <f t="shared" si="10"/>
        <v>Delivered</v>
      </c>
    </row>
    <row r="33" spans="1:29" x14ac:dyDescent="0.3">
      <c r="A33" s="1" t="s">
        <v>93</v>
      </c>
      <c r="B33" s="1" t="s">
        <v>94</v>
      </c>
      <c r="C33" s="1" t="s">
        <v>33</v>
      </c>
      <c r="D33" s="1" t="s">
        <v>16</v>
      </c>
      <c r="E33" s="1" t="s">
        <v>41</v>
      </c>
      <c r="F33" s="1" t="s">
        <v>42</v>
      </c>
      <c r="G33" s="1">
        <v>1</v>
      </c>
      <c r="H33" s="1">
        <v>11400</v>
      </c>
      <c r="I33" s="1">
        <v>11400</v>
      </c>
      <c r="J33" s="1">
        <v>8600</v>
      </c>
      <c r="K33" s="1">
        <v>2800</v>
      </c>
      <c r="L33" s="1">
        <v>13500</v>
      </c>
      <c r="M33" s="1" t="s">
        <v>28</v>
      </c>
      <c r="N33" s="1" t="s">
        <v>20</v>
      </c>
      <c r="P33" s="29" t="str">
        <f t="shared" si="0"/>
        <v>ORD1070</v>
      </c>
      <c r="Q33" s="29" t="str">
        <f t="shared" si="1"/>
        <v>Tanisha Saha</v>
      </c>
      <c r="R33" s="29" t="str">
        <f t="shared" si="2"/>
        <v>Bookshelf</v>
      </c>
      <c r="S33" s="29" t="str">
        <f t="shared" si="3"/>
        <v>Furniture</v>
      </c>
      <c r="T33" s="29" t="str">
        <f t="shared" si="4"/>
        <v>North</v>
      </c>
      <c r="U33" s="29" t="str">
        <f t="shared" si="5"/>
        <v>Sneha Roy</v>
      </c>
      <c r="V33" s="29">
        <f t="shared" si="6"/>
        <v>1</v>
      </c>
      <c r="W33" s="29">
        <f t="shared" si="7"/>
        <v>11400</v>
      </c>
      <c r="X33" s="29">
        <f t="shared" si="8"/>
        <v>11400</v>
      </c>
      <c r="Y33" s="29">
        <v>8600</v>
      </c>
      <c r="Z33" s="29">
        <f t="shared" si="9"/>
        <v>2800</v>
      </c>
      <c r="AA33" s="29">
        <v>13500</v>
      </c>
      <c r="AB33" s="29" t="s">
        <v>28</v>
      </c>
      <c r="AC33" s="29" t="str">
        <f t="shared" si="10"/>
        <v>Delivered</v>
      </c>
    </row>
    <row r="34" spans="1:29" x14ac:dyDescent="0.3">
      <c r="A34" s="1" t="s">
        <v>95</v>
      </c>
      <c r="B34" s="1" t="s">
        <v>96</v>
      </c>
      <c r="C34" s="1" t="s">
        <v>36</v>
      </c>
      <c r="D34" s="1" t="s">
        <v>37</v>
      </c>
      <c r="E34" s="1" t="s">
        <v>41</v>
      </c>
      <c r="F34" s="1" t="s">
        <v>42</v>
      </c>
      <c r="G34" s="1">
        <v>2</v>
      </c>
      <c r="H34" s="1">
        <v>15350</v>
      </c>
      <c r="I34" s="1">
        <v>30700</v>
      </c>
      <c r="J34" s="1">
        <v>23850</v>
      </c>
      <c r="K34" s="1">
        <v>6850</v>
      </c>
      <c r="L34" s="1">
        <v>34500</v>
      </c>
      <c r="M34" s="1" t="s">
        <v>19</v>
      </c>
      <c r="N34" s="1" t="s">
        <v>20</v>
      </c>
      <c r="P34" s="29" t="str">
        <f t="shared" si="0"/>
        <v>ORD1102</v>
      </c>
      <c r="Q34" s="29" t="str">
        <f t="shared" si="1"/>
        <v>Rohit Sen</v>
      </c>
      <c r="R34" s="29" t="str">
        <f t="shared" si="2"/>
        <v>Printer</v>
      </c>
      <c r="S34" s="29" t="str">
        <f t="shared" si="3"/>
        <v>Electronics</v>
      </c>
      <c r="T34" s="29" t="str">
        <f t="shared" si="4"/>
        <v>North</v>
      </c>
      <c r="U34" s="29" t="str">
        <f t="shared" si="5"/>
        <v>Sneha Roy</v>
      </c>
      <c r="V34" s="29">
        <f t="shared" si="6"/>
        <v>2</v>
      </c>
      <c r="W34" s="29">
        <f t="shared" si="7"/>
        <v>15350</v>
      </c>
      <c r="X34" s="29">
        <f t="shared" si="8"/>
        <v>30700</v>
      </c>
      <c r="Y34" s="29">
        <v>23850</v>
      </c>
      <c r="Z34" s="29">
        <f t="shared" si="9"/>
        <v>6850</v>
      </c>
      <c r="AA34" s="29">
        <v>34500</v>
      </c>
      <c r="AB34" s="29" t="s">
        <v>19</v>
      </c>
      <c r="AC34" s="29" t="str">
        <f t="shared" si="10"/>
        <v>Delivered</v>
      </c>
    </row>
    <row r="35" spans="1:29" x14ac:dyDescent="0.3">
      <c r="A35" s="1" t="s">
        <v>97</v>
      </c>
      <c r="B35" s="1" t="s">
        <v>98</v>
      </c>
      <c r="C35" s="1" t="s">
        <v>99</v>
      </c>
      <c r="D35" s="1" t="s">
        <v>23</v>
      </c>
      <c r="E35" s="1" t="s">
        <v>30</v>
      </c>
      <c r="F35" s="1" t="s">
        <v>31</v>
      </c>
      <c r="G35" s="1">
        <v>24</v>
      </c>
      <c r="H35" s="1">
        <v>108</v>
      </c>
      <c r="I35" s="1">
        <v>2592</v>
      </c>
      <c r="J35" s="1">
        <v>1250</v>
      </c>
      <c r="K35" s="1">
        <v>1342</v>
      </c>
      <c r="L35" s="1">
        <v>3200</v>
      </c>
      <c r="M35" s="1" t="s">
        <v>26</v>
      </c>
      <c r="N35" s="1" t="s">
        <v>20</v>
      </c>
      <c r="P35" s="29" t="str">
        <f t="shared" si="0"/>
        <v>ORD1068</v>
      </c>
      <c r="Q35" s="29" t="str">
        <f t="shared" si="1"/>
        <v>Shalini Dutta</v>
      </c>
      <c r="R35" s="29" t="str">
        <f t="shared" si="2"/>
        <v>Notebook</v>
      </c>
      <c r="S35" s="29" t="str">
        <f t="shared" si="3"/>
        <v>Stationery</v>
      </c>
      <c r="T35" s="29" t="str">
        <f t="shared" si="4"/>
        <v>South</v>
      </c>
      <c r="U35" s="29" t="str">
        <f t="shared" si="5"/>
        <v>Pooja Dey</v>
      </c>
      <c r="V35" s="29">
        <f t="shared" si="6"/>
        <v>24</v>
      </c>
      <c r="W35" s="29">
        <f t="shared" si="7"/>
        <v>108</v>
      </c>
      <c r="X35" s="29">
        <f t="shared" si="8"/>
        <v>2592</v>
      </c>
      <c r="Y35" s="29">
        <v>1250</v>
      </c>
      <c r="Z35" s="29">
        <f t="shared" si="9"/>
        <v>1342</v>
      </c>
      <c r="AA35" s="29">
        <v>3200</v>
      </c>
      <c r="AB35" s="29" t="s">
        <v>26</v>
      </c>
      <c r="AC35" s="29" t="str">
        <f t="shared" si="10"/>
        <v>Delivered</v>
      </c>
    </row>
    <row r="36" spans="1:29" x14ac:dyDescent="0.3">
      <c r="A36" s="1" t="s">
        <v>100</v>
      </c>
      <c r="B36" s="1" t="s">
        <v>101</v>
      </c>
      <c r="C36" s="1" t="s">
        <v>88</v>
      </c>
      <c r="D36" s="1" t="s">
        <v>37</v>
      </c>
      <c r="E36" s="1" t="s">
        <v>24</v>
      </c>
      <c r="F36" s="1" t="s">
        <v>25</v>
      </c>
      <c r="G36" s="1">
        <v>1</v>
      </c>
      <c r="H36" s="1">
        <v>12300</v>
      </c>
      <c r="I36" s="1">
        <v>12300</v>
      </c>
      <c r="J36" s="1">
        <v>9450</v>
      </c>
      <c r="K36" s="1">
        <v>2850</v>
      </c>
      <c r="L36" s="1">
        <v>14500</v>
      </c>
      <c r="M36" s="1" t="s">
        <v>19</v>
      </c>
      <c r="N36" s="1" t="s">
        <v>20</v>
      </c>
      <c r="P36" s="29" t="str">
        <f t="shared" si="0"/>
        <v>ORD1105</v>
      </c>
      <c r="Q36" s="29" t="str">
        <f t="shared" si="1"/>
        <v>Arijit Sharma</v>
      </c>
      <c r="R36" s="29" t="str">
        <f t="shared" si="2"/>
        <v>Monitor</v>
      </c>
      <c r="S36" s="29" t="str">
        <f t="shared" si="3"/>
        <v>Electronics</v>
      </c>
      <c r="T36" s="29" t="str">
        <f t="shared" si="4"/>
        <v>East</v>
      </c>
      <c r="U36" s="29" t="str">
        <f t="shared" si="5"/>
        <v>Rahul Das</v>
      </c>
      <c r="V36" s="29">
        <f t="shared" si="6"/>
        <v>1</v>
      </c>
      <c r="W36" s="29">
        <f t="shared" si="7"/>
        <v>12300</v>
      </c>
      <c r="X36" s="29">
        <f t="shared" si="8"/>
        <v>12300</v>
      </c>
      <c r="Y36" s="29">
        <v>9450</v>
      </c>
      <c r="Z36" s="29">
        <f t="shared" si="9"/>
        <v>2850</v>
      </c>
      <c r="AA36" s="29">
        <v>14500</v>
      </c>
      <c r="AB36" s="29" t="s">
        <v>19</v>
      </c>
      <c r="AC36" s="29" t="str">
        <f t="shared" si="10"/>
        <v>Delivered</v>
      </c>
    </row>
    <row r="37" spans="1:29" x14ac:dyDescent="0.3">
      <c r="A37" s="1" t="s">
        <v>102</v>
      </c>
      <c r="B37" s="1" t="s">
        <v>103</v>
      </c>
      <c r="C37" s="1" t="s">
        <v>33</v>
      </c>
      <c r="D37" s="1" t="s">
        <v>16</v>
      </c>
      <c r="E37" s="1" t="s">
        <v>24</v>
      </c>
      <c r="F37" s="1" t="s">
        <v>25</v>
      </c>
      <c r="G37" s="1">
        <v>2</v>
      </c>
      <c r="H37" s="1">
        <v>11380</v>
      </c>
      <c r="I37" s="1">
        <v>22760</v>
      </c>
      <c r="J37" s="1">
        <v>17250</v>
      </c>
      <c r="K37" s="1">
        <v>5510</v>
      </c>
      <c r="L37" s="1">
        <v>25000</v>
      </c>
      <c r="M37" s="1" t="s">
        <v>28</v>
      </c>
      <c r="N37" s="1" t="s">
        <v>20</v>
      </c>
      <c r="P37" s="29" t="str">
        <f t="shared" si="0"/>
        <v>ORD1133</v>
      </c>
      <c r="Q37" s="29" t="str">
        <f t="shared" si="1"/>
        <v>Rahul Kapoor</v>
      </c>
      <c r="R37" s="29" t="str">
        <f t="shared" si="2"/>
        <v>Bookshelf</v>
      </c>
      <c r="S37" s="29" t="str">
        <f t="shared" si="3"/>
        <v>Furniture</v>
      </c>
      <c r="T37" s="29" t="str">
        <f t="shared" si="4"/>
        <v>East</v>
      </c>
      <c r="U37" s="29" t="str">
        <f t="shared" si="5"/>
        <v>Rahul Das</v>
      </c>
      <c r="V37" s="29">
        <f t="shared" si="6"/>
        <v>2</v>
      </c>
      <c r="W37" s="29">
        <f t="shared" si="7"/>
        <v>11380</v>
      </c>
      <c r="X37" s="29">
        <f t="shared" si="8"/>
        <v>22760</v>
      </c>
      <c r="Y37" s="29">
        <v>17250</v>
      </c>
      <c r="Z37" s="29">
        <f t="shared" si="9"/>
        <v>5510</v>
      </c>
      <c r="AA37" s="29">
        <v>25000</v>
      </c>
      <c r="AB37" s="29" t="s">
        <v>28</v>
      </c>
      <c r="AC37" s="29" t="str">
        <f t="shared" si="10"/>
        <v>Delivered</v>
      </c>
    </row>
    <row r="38" spans="1:29" x14ac:dyDescent="0.3">
      <c r="A38" s="1" t="s">
        <v>104</v>
      </c>
      <c r="B38" s="1" t="s">
        <v>105</v>
      </c>
      <c r="C38" s="1" t="s">
        <v>40</v>
      </c>
      <c r="D38" s="1" t="s">
        <v>16</v>
      </c>
      <c r="E38" s="1" t="s">
        <v>24</v>
      </c>
      <c r="F38" s="1" t="s">
        <v>25</v>
      </c>
      <c r="G38" s="1">
        <v>3</v>
      </c>
      <c r="H38" s="1">
        <v>6810</v>
      </c>
      <c r="I38" s="1">
        <v>20430</v>
      </c>
      <c r="J38" s="1">
        <v>15100</v>
      </c>
      <c r="K38" s="1">
        <v>5330</v>
      </c>
      <c r="L38" s="1">
        <v>23000</v>
      </c>
      <c r="M38" s="1" t="s">
        <v>28</v>
      </c>
      <c r="N38" s="1" t="s">
        <v>20</v>
      </c>
      <c r="P38" s="29" t="str">
        <f t="shared" si="0"/>
        <v>ORD1181</v>
      </c>
      <c r="Q38" s="29" t="str">
        <f t="shared" si="1"/>
        <v>Ayan Ghosh</v>
      </c>
      <c r="R38" s="29" t="str">
        <f t="shared" si="2"/>
        <v>Office Chair</v>
      </c>
      <c r="S38" s="29" t="str">
        <f t="shared" si="3"/>
        <v>Furniture</v>
      </c>
      <c r="T38" s="29" t="str">
        <f t="shared" si="4"/>
        <v>East</v>
      </c>
      <c r="U38" s="29" t="str">
        <f t="shared" si="5"/>
        <v>Rahul Das</v>
      </c>
      <c r="V38" s="29">
        <f t="shared" si="6"/>
        <v>3</v>
      </c>
      <c r="W38" s="29">
        <f t="shared" si="7"/>
        <v>6810</v>
      </c>
      <c r="X38" s="29">
        <f t="shared" si="8"/>
        <v>20430</v>
      </c>
      <c r="Y38" s="29">
        <v>15100</v>
      </c>
      <c r="Z38" s="29">
        <f t="shared" si="9"/>
        <v>5330</v>
      </c>
      <c r="AA38" s="29">
        <v>23000</v>
      </c>
      <c r="AB38" s="29" t="s">
        <v>28</v>
      </c>
      <c r="AC38" s="29" t="str">
        <f t="shared" si="10"/>
        <v>Delivered</v>
      </c>
    </row>
    <row r="39" spans="1:29" x14ac:dyDescent="0.3">
      <c r="A39" s="1" t="s">
        <v>106</v>
      </c>
      <c r="B39" s="1" t="s">
        <v>107</v>
      </c>
      <c r="C39" s="1" t="s">
        <v>88</v>
      </c>
      <c r="D39" s="1" t="s">
        <v>37</v>
      </c>
      <c r="E39" s="1" t="s">
        <v>30</v>
      </c>
      <c r="F39" s="1" t="s">
        <v>31</v>
      </c>
      <c r="G39" s="1">
        <v>3</v>
      </c>
      <c r="H39" s="1">
        <v>12200</v>
      </c>
      <c r="I39" s="1">
        <v>36600</v>
      </c>
      <c r="J39" s="1">
        <v>28200</v>
      </c>
      <c r="K39" s="1">
        <v>8400</v>
      </c>
      <c r="L39" s="1">
        <v>40500</v>
      </c>
      <c r="M39" s="1" t="s">
        <v>19</v>
      </c>
      <c r="N39" s="1" t="s">
        <v>20</v>
      </c>
      <c r="P39" s="29" t="str">
        <f t="shared" si="0"/>
        <v>ORD1096</v>
      </c>
      <c r="Q39" s="29" t="str">
        <f t="shared" si="1"/>
        <v>Ishita Kapoor</v>
      </c>
      <c r="R39" s="29" t="str">
        <f t="shared" si="2"/>
        <v>Monitor</v>
      </c>
      <c r="S39" s="29" t="str">
        <f t="shared" si="3"/>
        <v>Electronics</v>
      </c>
      <c r="T39" s="29" t="str">
        <f t="shared" si="4"/>
        <v>South</v>
      </c>
      <c r="U39" s="29" t="str">
        <f t="shared" si="5"/>
        <v>Pooja Dey</v>
      </c>
      <c r="V39" s="29">
        <f t="shared" si="6"/>
        <v>3</v>
      </c>
      <c r="W39" s="29">
        <f t="shared" si="7"/>
        <v>12200</v>
      </c>
      <c r="X39" s="29">
        <f t="shared" si="8"/>
        <v>36600</v>
      </c>
      <c r="Y39" s="29">
        <v>28200</v>
      </c>
      <c r="Z39" s="29">
        <f t="shared" si="9"/>
        <v>8400</v>
      </c>
      <c r="AA39" s="29">
        <v>40500</v>
      </c>
      <c r="AB39" s="29" t="s">
        <v>19</v>
      </c>
      <c r="AC39" s="29" t="str">
        <f t="shared" si="10"/>
        <v>Delivered</v>
      </c>
    </row>
    <row r="40" spans="1:29" x14ac:dyDescent="0.3">
      <c r="A40" s="1"/>
      <c r="B40" s="1" t="s">
        <v>108</v>
      </c>
      <c r="C40" s="1" t="s">
        <v>22</v>
      </c>
      <c r="D40" s="1" t="s">
        <v>23</v>
      </c>
      <c r="E40" s="1" t="s">
        <v>17</v>
      </c>
      <c r="F40" s="1" t="s">
        <v>18</v>
      </c>
      <c r="G40" s="1">
        <v>27</v>
      </c>
      <c r="H40" s="1">
        <v>151</v>
      </c>
      <c r="I40" s="1">
        <v>4077</v>
      </c>
      <c r="J40" s="1">
        <v>1700</v>
      </c>
      <c r="K40" s="1">
        <v>2377</v>
      </c>
      <c r="L40" s="1">
        <v>4700</v>
      </c>
      <c r="M40" s="1" t="s">
        <v>26</v>
      </c>
      <c r="N40" s="1" t="s">
        <v>20</v>
      </c>
      <c r="P40" s="29" t="str">
        <f t="shared" si="0"/>
        <v>GUEST USER</v>
      </c>
      <c r="Q40" s="29" t="str">
        <f t="shared" si="1"/>
        <v>Rohan Chatterjee</v>
      </c>
      <c r="R40" s="29" t="str">
        <f t="shared" si="2"/>
        <v>Pen Pack</v>
      </c>
      <c r="S40" s="29" t="str">
        <f t="shared" si="3"/>
        <v>Stationery</v>
      </c>
      <c r="T40" s="29" t="str">
        <f t="shared" si="4"/>
        <v>West</v>
      </c>
      <c r="U40" s="29" t="str">
        <f t="shared" si="5"/>
        <v>Amit Paul</v>
      </c>
      <c r="V40" s="29">
        <f t="shared" si="6"/>
        <v>27</v>
      </c>
      <c r="W40" s="29">
        <f t="shared" si="7"/>
        <v>151</v>
      </c>
      <c r="X40" s="29">
        <f t="shared" si="8"/>
        <v>4077</v>
      </c>
      <c r="Y40" s="29">
        <v>1700</v>
      </c>
      <c r="Z40" s="29">
        <f t="shared" si="9"/>
        <v>2377</v>
      </c>
      <c r="AA40" s="29">
        <v>4700</v>
      </c>
      <c r="AB40" s="29" t="s">
        <v>26</v>
      </c>
      <c r="AC40" s="29" t="str">
        <f t="shared" si="10"/>
        <v>Delivered</v>
      </c>
    </row>
    <row r="41" spans="1:29" x14ac:dyDescent="0.3">
      <c r="A41" s="1" t="s">
        <v>109</v>
      </c>
      <c r="B41" s="1" t="s">
        <v>110</v>
      </c>
      <c r="C41" s="1" t="s">
        <v>33</v>
      </c>
      <c r="D41" s="1" t="s">
        <v>16</v>
      </c>
      <c r="E41" s="1" t="s">
        <v>30</v>
      </c>
      <c r="F41" s="1" t="s">
        <v>31</v>
      </c>
      <c r="G41" s="1">
        <v>2</v>
      </c>
      <c r="H41" s="1">
        <v>11410</v>
      </c>
      <c r="I41" s="1">
        <v>22820</v>
      </c>
      <c r="J41" s="1">
        <v>17300</v>
      </c>
      <c r="K41" s="1">
        <v>5520</v>
      </c>
      <c r="L41" s="1">
        <v>25000</v>
      </c>
      <c r="M41" s="1" t="s">
        <v>28</v>
      </c>
      <c r="N41" s="1" t="s">
        <v>20</v>
      </c>
      <c r="P41" s="29" t="str">
        <f t="shared" si="0"/>
        <v>ORD1160</v>
      </c>
      <c r="Q41" s="29" t="str">
        <f t="shared" si="1"/>
        <v>Sneha Banik</v>
      </c>
      <c r="R41" s="29" t="str">
        <f t="shared" si="2"/>
        <v>Bookshelf</v>
      </c>
      <c r="S41" s="29" t="str">
        <f t="shared" si="3"/>
        <v>Furniture</v>
      </c>
      <c r="T41" s="29" t="str">
        <f t="shared" si="4"/>
        <v>South</v>
      </c>
      <c r="U41" s="29" t="str">
        <f t="shared" si="5"/>
        <v>Pooja Dey</v>
      </c>
      <c r="V41" s="29">
        <f t="shared" si="6"/>
        <v>2</v>
      </c>
      <c r="W41" s="29">
        <f t="shared" si="7"/>
        <v>11410</v>
      </c>
      <c r="X41" s="29">
        <f t="shared" si="8"/>
        <v>22820</v>
      </c>
      <c r="Y41" s="29">
        <v>17300</v>
      </c>
      <c r="Z41" s="29">
        <f t="shared" si="9"/>
        <v>5520</v>
      </c>
      <c r="AA41" s="29">
        <v>25000</v>
      </c>
      <c r="AB41" s="29" t="s">
        <v>28</v>
      </c>
      <c r="AC41" s="29" t="str">
        <f t="shared" si="10"/>
        <v>Delivered</v>
      </c>
    </row>
    <row r="42" spans="1:29" x14ac:dyDescent="0.3">
      <c r="A42" s="1" t="s">
        <v>111</v>
      </c>
      <c r="B42" s="1" t="s">
        <v>70</v>
      </c>
      <c r="C42" s="1" t="s">
        <v>56</v>
      </c>
      <c r="D42" s="1" t="s">
        <v>37</v>
      </c>
      <c r="E42" s="1" t="s">
        <v>41</v>
      </c>
      <c r="F42" s="1" t="s">
        <v>42</v>
      </c>
      <c r="G42" s="1">
        <v>2</v>
      </c>
      <c r="H42" s="1">
        <v>57150</v>
      </c>
      <c r="I42" s="1">
        <v>114300</v>
      </c>
      <c r="J42" s="1">
        <v>94850</v>
      </c>
      <c r="K42" s="1">
        <v>19450</v>
      </c>
      <c r="L42" s="1">
        <v>126000</v>
      </c>
      <c r="M42" s="1" t="s">
        <v>19</v>
      </c>
      <c r="N42" s="1" t="s">
        <v>20</v>
      </c>
      <c r="P42" s="29" t="str">
        <f t="shared" si="0"/>
        <v>ORD1198</v>
      </c>
      <c r="Q42" s="29" t="str">
        <f t="shared" si="1"/>
        <v>Snehal Ghosh</v>
      </c>
      <c r="R42" s="29" t="str">
        <f t="shared" si="2"/>
        <v>Laptop</v>
      </c>
      <c r="S42" s="29" t="str">
        <f t="shared" si="3"/>
        <v>Electronics</v>
      </c>
      <c r="T42" s="29" t="str">
        <f t="shared" si="4"/>
        <v>North</v>
      </c>
      <c r="U42" s="29" t="str">
        <f t="shared" si="5"/>
        <v>Sneha Roy</v>
      </c>
      <c r="V42" s="29">
        <f t="shared" si="6"/>
        <v>2</v>
      </c>
      <c r="W42" s="29">
        <f t="shared" si="7"/>
        <v>57150</v>
      </c>
      <c r="X42" s="29">
        <f t="shared" si="8"/>
        <v>114300</v>
      </c>
      <c r="Y42" s="29">
        <v>94850</v>
      </c>
      <c r="Z42" s="29">
        <f t="shared" si="9"/>
        <v>19450</v>
      </c>
      <c r="AA42" s="29">
        <v>126000</v>
      </c>
      <c r="AB42" s="29" t="s">
        <v>19</v>
      </c>
      <c r="AC42" s="29" t="str">
        <f t="shared" si="10"/>
        <v>Delivered</v>
      </c>
    </row>
    <row r="43" spans="1:29" x14ac:dyDescent="0.3">
      <c r="A43" s="1" t="s">
        <v>112</v>
      </c>
      <c r="B43" s="1" t="s">
        <v>113</v>
      </c>
      <c r="C43" s="1" t="s">
        <v>40</v>
      </c>
      <c r="D43" s="1" t="s">
        <v>16</v>
      </c>
      <c r="E43" s="1" t="s">
        <v>17</v>
      </c>
      <c r="F43" s="1" t="s">
        <v>18</v>
      </c>
      <c r="G43" s="1">
        <v>3</v>
      </c>
      <c r="H43" s="1">
        <v>6790</v>
      </c>
      <c r="I43" s="1">
        <v>20370</v>
      </c>
      <c r="J43" s="1">
        <v>15020</v>
      </c>
      <c r="K43" s="1">
        <v>5350</v>
      </c>
      <c r="L43" s="1">
        <v>23000</v>
      </c>
      <c r="M43" s="1" t="s">
        <v>28</v>
      </c>
      <c r="N43" s="1" t="s">
        <v>20</v>
      </c>
      <c r="P43" s="29" t="str">
        <f t="shared" si="0"/>
        <v>ORD1163</v>
      </c>
      <c r="Q43" s="29" t="str">
        <f t="shared" si="1"/>
        <v>Rohit Banerjee</v>
      </c>
      <c r="R43" s="29" t="str">
        <f t="shared" si="2"/>
        <v>Office Chair</v>
      </c>
      <c r="S43" s="29" t="str">
        <f t="shared" si="3"/>
        <v>Furniture</v>
      </c>
      <c r="T43" s="29" t="str">
        <f t="shared" si="4"/>
        <v>West</v>
      </c>
      <c r="U43" s="29" t="str">
        <f t="shared" si="5"/>
        <v>Amit Paul</v>
      </c>
      <c r="V43" s="29">
        <f t="shared" si="6"/>
        <v>3</v>
      </c>
      <c r="W43" s="29">
        <f t="shared" si="7"/>
        <v>6790</v>
      </c>
      <c r="X43" s="29">
        <f t="shared" si="8"/>
        <v>20370</v>
      </c>
      <c r="Y43" s="29">
        <v>15020</v>
      </c>
      <c r="Z43" s="29">
        <f t="shared" si="9"/>
        <v>5350</v>
      </c>
      <c r="AA43" s="29">
        <v>23000</v>
      </c>
      <c r="AB43" s="29" t="s">
        <v>28</v>
      </c>
      <c r="AC43" s="29" t="str">
        <f t="shared" si="10"/>
        <v>Delivered</v>
      </c>
    </row>
    <row r="44" spans="1:29" x14ac:dyDescent="0.3">
      <c r="A44" s="1" t="s">
        <v>114</v>
      </c>
      <c r="B44" s="1" t="s">
        <v>115</v>
      </c>
      <c r="C44" s="1" t="s">
        <v>33</v>
      </c>
      <c r="D44" s="1" t="s">
        <v>16</v>
      </c>
      <c r="E44" s="1" t="s">
        <v>17</v>
      </c>
      <c r="F44" s="1" t="s">
        <v>18</v>
      </c>
      <c r="G44" s="1">
        <v>1</v>
      </c>
      <c r="H44" s="1">
        <v>11360</v>
      </c>
      <c r="I44" s="1">
        <v>11360</v>
      </c>
      <c r="J44" s="1">
        <v>8600</v>
      </c>
      <c r="K44" s="1">
        <v>2760</v>
      </c>
      <c r="L44" s="1">
        <v>13500</v>
      </c>
      <c r="M44" s="1" t="s">
        <v>28</v>
      </c>
      <c r="N44" s="1" t="s">
        <v>20</v>
      </c>
      <c r="P44" s="29" t="str">
        <f t="shared" si="0"/>
        <v>ORD1151</v>
      </c>
      <c r="Q44" s="29" t="str">
        <f t="shared" si="1"/>
        <v>Aman Saha</v>
      </c>
      <c r="R44" s="29" t="str">
        <f t="shared" si="2"/>
        <v>Bookshelf</v>
      </c>
      <c r="S44" s="29" t="str">
        <f t="shared" si="3"/>
        <v>Furniture</v>
      </c>
      <c r="T44" s="29" t="str">
        <f t="shared" si="4"/>
        <v>West</v>
      </c>
      <c r="U44" s="29" t="str">
        <f t="shared" si="5"/>
        <v>Amit Paul</v>
      </c>
      <c r="V44" s="29">
        <f t="shared" si="6"/>
        <v>1</v>
      </c>
      <c r="W44" s="29">
        <f t="shared" si="7"/>
        <v>11360</v>
      </c>
      <c r="X44" s="29">
        <f t="shared" si="8"/>
        <v>11360</v>
      </c>
      <c r="Y44" s="29">
        <v>8600</v>
      </c>
      <c r="Z44" s="29">
        <f t="shared" si="9"/>
        <v>2760</v>
      </c>
      <c r="AA44" s="29">
        <v>13500</v>
      </c>
      <c r="AB44" s="29" t="s">
        <v>28</v>
      </c>
      <c r="AC44" s="29" t="str">
        <f t="shared" si="10"/>
        <v>Delivered</v>
      </c>
    </row>
    <row r="45" spans="1:29" x14ac:dyDescent="0.3">
      <c r="A45" s="1" t="s">
        <v>116</v>
      </c>
      <c r="B45" s="1" t="s">
        <v>117</v>
      </c>
      <c r="C45" s="1" t="s">
        <v>33</v>
      </c>
      <c r="D45" s="1" t="s">
        <v>16</v>
      </c>
      <c r="E45" s="1" t="s">
        <v>24</v>
      </c>
      <c r="F45" s="1" t="s">
        <v>25</v>
      </c>
      <c r="G45" s="1">
        <v>2</v>
      </c>
      <c r="H45" s="1">
        <v>11450</v>
      </c>
      <c r="I45" s="1">
        <v>22900</v>
      </c>
      <c r="J45" s="1">
        <v>17400</v>
      </c>
      <c r="K45" s="1">
        <v>5500</v>
      </c>
      <c r="L45" s="1">
        <v>25000</v>
      </c>
      <c r="M45" s="1" t="s">
        <v>28</v>
      </c>
      <c r="N45" s="1" t="s">
        <v>20</v>
      </c>
      <c r="P45" s="29" t="str">
        <f t="shared" si="0"/>
        <v>ORD1097</v>
      </c>
      <c r="Q45" s="29" t="str">
        <f t="shared" si="1"/>
        <v>Rahul Verma</v>
      </c>
      <c r="R45" s="29" t="str">
        <f t="shared" si="2"/>
        <v>Bookshelf</v>
      </c>
      <c r="S45" s="29" t="str">
        <f t="shared" si="3"/>
        <v>Furniture</v>
      </c>
      <c r="T45" s="29" t="str">
        <f t="shared" si="4"/>
        <v>East</v>
      </c>
      <c r="U45" s="29" t="str">
        <f t="shared" si="5"/>
        <v>Rahul Das</v>
      </c>
      <c r="V45" s="29">
        <f t="shared" si="6"/>
        <v>2</v>
      </c>
      <c r="W45" s="29">
        <f t="shared" si="7"/>
        <v>11450</v>
      </c>
      <c r="X45" s="29">
        <f t="shared" si="8"/>
        <v>22900</v>
      </c>
      <c r="Y45" s="29">
        <v>17400</v>
      </c>
      <c r="Z45" s="29">
        <f t="shared" si="9"/>
        <v>5500</v>
      </c>
      <c r="AA45" s="29">
        <v>25000</v>
      </c>
      <c r="AB45" s="29" t="s">
        <v>28</v>
      </c>
      <c r="AC45" s="29" t="str">
        <f t="shared" si="10"/>
        <v>Delivered</v>
      </c>
    </row>
    <row r="46" spans="1:29" x14ac:dyDescent="0.3">
      <c r="A46" s="1" t="s">
        <v>118</v>
      </c>
      <c r="B46" s="1" t="s">
        <v>119</v>
      </c>
      <c r="C46" s="1" t="s">
        <v>88</v>
      </c>
      <c r="D46" s="1" t="s">
        <v>37</v>
      </c>
      <c r="E46" s="1" t="s">
        <v>24</v>
      </c>
      <c r="F46" s="1" t="s">
        <v>25</v>
      </c>
      <c r="G46" s="1">
        <v>2</v>
      </c>
      <c r="H46" s="1">
        <v>12250</v>
      </c>
      <c r="I46" s="1">
        <v>24500</v>
      </c>
      <c r="J46" s="1">
        <v>18800</v>
      </c>
      <c r="K46" s="1">
        <v>5700</v>
      </c>
      <c r="L46" s="1">
        <v>27000</v>
      </c>
      <c r="M46" s="1" t="s">
        <v>19</v>
      </c>
      <c r="N46" s="1" t="s">
        <v>20</v>
      </c>
      <c r="P46" s="29" t="str">
        <f t="shared" si="0"/>
        <v>ORD1069</v>
      </c>
      <c r="Q46" s="29" t="str">
        <f t="shared" si="1"/>
        <v>Kabir Roy</v>
      </c>
      <c r="R46" s="29" t="str">
        <f t="shared" si="2"/>
        <v>Monitor</v>
      </c>
      <c r="S46" s="29" t="str">
        <f t="shared" si="3"/>
        <v>Electronics</v>
      </c>
      <c r="T46" s="29" t="str">
        <f t="shared" si="4"/>
        <v>East</v>
      </c>
      <c r="U46" s="29" t="str">
        <f t="shared" si="5"/>
        <v>Rahul Das</v>
      </c>
      <c r="V46" s="29">
        <f t="shared" si="6"/>
        <v>2</v>
      </c>
      <c r="W46" s="29">
        <f t="shared" si="7"/>
        <v>12250</v>
      </c>
      <c r="X46" s="29">
        <f t="shared" si="8"/>
        <v>24500</v>
      </c>
      <c r="Y46" s="29">
        <v>18800</v>
      </c>
      <c r="Z46" s="29">
        <f t="shared" si="9"/>
        <v>5700</v>
      </c>
      <c r="AA46" s="29">
        <v>27000</v>
      </c>
      <c r="AB46" s="29" t="s">
        <v>19</v>
      </c>
      <c r="AC46" s="29" t="str">
        <f t="shared" si="10"/>
        <v>Delivered</v>
      </c>
    </row>
    <row r="47" spans="1:29" x14ac:dyDescent="0.3">
      <c r="A47" s="1" t="s">
        <v>120</v>
      </c>
      <c r="B47" s="1" t="s">
        <v>121</v>
      </c>
      <c r="C47" s="1" t="s">
        <v>15</v>
      </c>
      <c r="D47" s="1" t="s">
        <v>16</v>
      </c>
      <c r="E47" s="1" t="s">
        <v>24</v>
      </c>
      <c r="F47" s="1" t="s">
        <v>25</v>
      </c>
      <c r="G47" s="1">
        <v>3</v>
      </c>
      <c r="H47" s="1">
        <v>9160</v>
      </c>
      <c r="I47" s="1">
        <v>27480</v>
      </c>
      <c r="J47" s="1">
        <v>20240</v>
      </c>
      <c r="K47" s="1">
        <v>7240</v>
      </c>
      <c r="L47" s="1">
        <v>30000</v>
      </c>
      <c r="M47" s="1" t="s">
        <v>28</v>
      </c>
      <c r="N47" s="1" t="s">
        <v>20</v>
      </c>
      <c r="P47" s="29" t="str">
        <f t="shared" si="0"/>
        <v>ORD1157</v>
      </c>
      <c r="Q47" s="29" t="str">
        <f t="shared" si="1"/>
        <v>Anirban Ghosh</v>
      </c>
      <c r="R47" s="29" t="str">
        <f t="shared" si="2"/>
        <v>Desk</v>
      </c>
      <c r="S47" s="29" t="str">
        <f t="shared" si="3"/>
        <v>Furniture</v>
      </c>
      <c r="T47" s="29" t="str">
        <f t="shared" si="4"/>
        <v>East</v>
      </c>
      <c r="U47" s="29" t="str">
        <f t="shared" si="5"/>
        <v>Rahul Das</v>
      </c>
      <c r="V47" s="29">
        <f t="shared" si="6"/>
        <v>3</v>
      </c>
      <c r="W47" s="29">
        <f t="shared" si="7"/>
        <v>9160</v>
      </c>
      <c r="X47" s="29">
        <f t="shared" si="8"/>
        <v>27480</v>
      </c>
      <c r="Y47" s="29">
        <v>20240</v>
      </c>
      <c r="Z47" s="29">
        <f t="shared" si="9"/>
        <v>7240</v>
      </c>
      <c r="AA47" s="29">
        <v>30000</v>
      </c>
      <c r="AB47" s="29" t="s">
        <v>28</v>
      </c>
      <c r="AC47" s="29" t="str">
        <f t="shared" si="10"/>
        <v>Delivered</v>
      </c>
    </row>
    <row r="48" spans="1:29" x14ac:dyDescent="0.3">
      <c r="A48" s="1" t="s">
        <v>122</v>
      </c>
      <c r="B48" s="1" t="s">
        <v>123</v>
      </c>
      <c r="C48" s="1" t="s">
        <v>88</v>
      </c>
      <c r="D48" s="1" t="s">
        <v>37</v>
      </c>
      <c r="E48" s="1" t="s">
        <v>17</v>
      </c>
      <c r="F48" s="1" t="s">
        <v>18</v>
      </c>
      <c r="G48" s="1">
        <v>2</v>
      </c>
      <c r="H48" s="1">
        <v>12450</v>
      </c>
      <c r="I48" s="1">
        <v>24900</v>
      </c>
      <c r="J48" s="1">
        <v>19100</v>
      </c>
      <c r="K48" s="1">
        <v>5800</v>
      </c>
      <c r="L48" s="1">
        <v>27500</v>
      </c>
      <c r="M48" s="1" t="s">
        <v>19</v>
      </c>
      <c r="N48" s="1" t="s">
        <v>20</v>
      </c>
      <c r="P48" s="29" t="str">
        <f t="shared" si="0"/>
        <v>ORD1087</v>
      </c>
      <c r="Q48" s="29" t="str">
        <f t="shared" si="1"/>
        <v>Karan Gupta</v>
      </c>
      <c r="R48" s="29" t="str">
        <f t="shared" si="2"/>
        <v>Monitor</v>
      </c>
      <c r="S48" s="29" t="str">
        <f t="shared" si="3"/>
        <v>Electronics</v>
      </c>
      <c r="T48" s="29" t="str">
        <f t="shared" si="4"/>
        <v>West</v>
      </c>
      <c r="U48" s="29" t="str">
        <f t="shared" si="5"/>
        <v>Amit Paul</v>
      </c>
      <c r="V48" s="29">
        <f t="shared" si="6"/>
        <v>2</v>
      </c>
      <c r="W48" s="29">
        <f t="shared" si="7"/>
        <v>12450</v>
      </c>
      <c r="X48" s="29">
        <f t="shared" si="8"/>
        <v>24900</v>
      </c>
      <c r="Y48" s="29">
        <v>19100</v>
      </c>
      <c r="Z48" s="29">
        <f t="shared" si="9"/>
        <v>5800</v>
      </c>
      <c r="AA48" s="29">
        <v>27500</v>
      </c>
      <c r="AB48" s="29" t="s">
        <v>19</v>
      </c>
      <c r="AC48" s="29" t="str">
        <f t="shared" si="10"/>
        <v>Delivered</v>
      </c>
    </row>
    <row r="49" spans="1:29" x14ac:dyDescent="0.3">
      <c r="A49" s="1" t="s">
        <v>124</v>
      </c>
      <c r="B49" s="1" t="s">
        <v>125</v>
      </c>
      <c r="C49" s="1" t="s">
        <v>22</v>
      </c>
      <c r="D49" s="1" t="s">
        <v>23</v>
      </c>
      <c r="E49" s="1" t="s">
        <v>24</v>
      </c>
      <c r="F49" s="1" t="s">
        <v>25</v>
      </c>
      <c r="G49" s="1">
        <v>28</v>
      </c>
      <c r="H49" s="1">
        <v>150</v>
      </c>
      <c r="I49" s="1">
        <v>4200</v>
      </c>
      <c r="J49" s="1">
        <v>1750</v>
      </c>
      <c r="K49" s="1">
        <v>2450</v>
      </c>
      <c r="L49" s="1">
        <v>4800</v>
      </c>
      <c r="M49" s="1" t="s">
        <v>26</v>
      </c>
      <c r="N49" s="1" t="s">
        <v>20</v>
      </c>
      <c r="P49" s="29" t="str">
        <f t="shared" si="0"/>
        <v>ORD1101</v>
      </c>
      <c r="Q49" s="29" t="str">
        <f t="shared" si="1"/>
        <v>Ananya Ghosh</v>
      </c>
      <c r="R49" s="29" t="str">
        <f t="shared" si="2"/>
        <v>Pen Pack</v>
      </c>
      <c r="S49" s="29" t="str">
        <f t="shared" si="3"/>
        <v>Stationery</v>
      </c>
      <c r="T49" s="29" t="str">
        <f t="shared" si="4"/>
        <v>East</v>
      </c>
      <c r="U49" s="29" t="str">
        <f t="shared" si="5"/>
        <v>Rahul Das</v>
      </c>
      <c r="V49" s="29">
        <f t="shared" si="6"/>
        <v>28</v>
      </c>
      <c r="W49" s="29">
        <f t="shared" si="7"/>
        <v>150</v>
      </c>
      <c r="X49" s="29">
        <f t="shared" si="8"/>
        <v>4200</v>
      </c>
      <c r="Y49" s="29">
        <v>1750</v>
      </c>
      <c r="Z49" s="29">
        <f t="shared" si="9"/>
        <v>2450</v>
      </c>
      <c r="AA49" s="29">
        <v>4800</v>
      </c>
      <c r="AB49" s="29" t="s">
        <v>26</v>
      </c>
      <c r="AC49" s="29" t="str">
        <f t="shared" si="10"/>
        <v>Delivered</v>
      </c>
    </row>
    <row r="50" spans="1:29" x14ac:dyDescent="0.3">
      <c r="A50" s="1" t="s">
        <v>126</v>
      </c>
      <c r="B50" s="1" t="s">
        <v>127</v>
      </c>
      <c r="C50" s="1" t="s">
        <v>36</v>
      </c>
      <c r="D50" s="1" t="s">
        <v>37</v>
      </c>
      <c r="E50" s="1" t="s">
        <v>17</v>
      </c>
      <c r="F50" s="1" t="s">
        <v>18</v>
      </c>
      <c r="G50" s="1">
        <v>1</v>
      </c>
      <c r="H50" s="1">
        <v>14900</v>
      </c>
      <c r="I50" s="1">
        <v>14900</v>
      </c>
      <c r="J50" s="1">
        <v>11700</v>
      </c>
      <c r="K50" s="1">
        <v>3200</v>
      </c>
      <c r="L50" s="1">
        <v>17000</v>
      </c>
      <c r="M50" s="1" t="s">
        <v>26</v>
      </c>
      <c r="N50" s="1" t="s">
        <v>20</v>
      </c>
      <c r="P50" s="29" t="str">
        <f t="shared" si="0"/>
        <v>ORD1039</v>
      </c>
      <c r="Q50" s="29" t="str">
        <f t="shared" si="1"/>
        <v>Yash Gupta</v>
      </c>
      <c r="R50" s="29" t="str">
        <f t="shared" si="2"/>
        <v>Printer</v>
      </c>
      <c r="S50" s="29" t="str">
        <f t="shared" si="3"/>
        <v>Electronics</v>
      </c>
      <c r="T50" s="29" t="str">
        <f t="shared" si="4"/>
        <v>West</v>
      </c>
      <c r="U50" s="29" t="str">
        <f t="shared" si="5"/>
        <v>Amit Paul</v>
      </c>
      <c r="V50" s="29">
        <f t="shared" si="6"/>
        <v>1</v>
      </c>
      <c r="W50" s="29">
        <f t="shared" si="7"/>
        <v>14900</v>
      </c>
      <c r="X50" s="29">
        <f t="shared" si="8"/>
        <v>14900</v>
      </c>
      <c r="Y50" s="29">
        <v>11700</v>
      </c>
      <c r="Z50" s="29">
        <f t="shared" si="9"/>
        <v>3200</v>
      </c>
      <c r="AA50" s="29">
        <v>17000</v>
      </c>
      <c r="AB50" s="29" t="s">
        <v>26</v>
      </c>
      <c r="AC50" s="29" t="str">
        <f t="shared" si="10"/>
        <v>Delivered</v>
      </c>
    </row>
    <row r="51" spans="1:29" x14ac:dyDescent="0.3">
      <c r="A51" s="1" t="s">
        <v>128</v>
      </c>
      <c r="B51" s="1" t="s">
        <v>129</v>
      </c>
      <c r="C51" s="1" t="s">
        <v>33</v>
      </c>
      <c r="D51" s="1" t="s">
        <v>16</v>
      </c>
      <c r="E51" s="1" t="s">
        <v>24</v>
      </c>
      <c r="F51" s="1" t="s">
        <v>25</v>
      </c>
      <c r="G51" s="1">
        <v>1</v>
      </c>
      <c r="H51" s="1">
        <v>10800</v>
      </c>
      <c r="I51" s="1">
        <v>10800</v>
      </c>
      <c r="J51" s="1">
        <v>8200</v>
      </c>
      <c r="K51" s="1">
        <v>2600</v>
      </c>
      <c r="L51" s="1">
        <v>13000</v>
      </c>
      <c r="M51" s="1" t="s">
        <v>19</v>
      </c>
      <c r="N51" s="1" t="s">
        <v>20</v>
      </c>
      <c r="P51" s="29" t="str">
        <f t="shared" si="0"/>
        <v>ORD1025</v>
      </c>
      <c r="Q51" s="29" t="str">
        <f t="shared" si="1"/>
        <v>Harsh Banerjee</v>
      </c>
      <c r="R51" s="29" t="str">
        <f t="shared" si="2"/>
        <v>Bookshelf</v>
      </c>
      <c r="S51" s="29" t="str">
        <f t="shared" si="3"/>
        <v>Furniture</v>
      </c>
      <c r="T51" s="29" t="str">
        <f t="shared" si="4"/>
        <v>East</v>
      </c>
      <c r="U51" s="29" t="str">
        <f t="shared" si="5"/>
        <v>Rahul Das</v>
      </c>
      <c r="V51" s="29">
        <f t="shared" si="6"/>
        <v>1</v>
      </c>
      <c r="W51" s="29">
        <f t="shared" si="7"/>
        <v>10800</v>
      </c>
      <c r="X51" s="29">
        <f t="shared" si="8"/>
        <v>10800</v>
      </c>
      <c r="Y51" s="29">
        <v>8200</v>
      </c>
      <c r="Z51" s="29">
        <f t="shared" si="9"/>
        <v>2600</v>
      </c>
      <c r="AA51" s="29">
        <v>13000</v>
      </c>
      <c r="AB51" s="29" t="s">
        <v>19</v>
      </c>
      <c r="AC51" s="29" t="str">
        <f t="shared" si="10"/>
        <v>Delivered</v>
      </c>
    </row>
    <row r="52" spans="1:29" x14ac:dyDescent="0.3">
      <c r="A52" s="1" t="s">
        <v>130</v>
      </c>
      <c r="B52" s="1" t="s">
        <v>131</v>
      </c>
      <c r="C52" s="1" t="s">
        <v>15</v>
      </c>
      <c r="D52" s="1" t="s">
        <v>16</v>
      </c>
      <c r="E52" s="1" t="s">
        <v>30</v>
      </c>
      <c r="F52" s="1" t="s">
        <v>31</v>
      </c>
      <c r="G52" s="1">
        <v>1</v>
      </c>
      <c r="H52" s="1">
        <v>9520</v>
      </c>
      <c r="I52" s="1">
        <v>9520</v>
      </c>
      <c r="J52" s="1">
        <v>7150</v>
      </c>
      <c r="K52" s="1">
        <v>2370</v>
      </c>
      <c r="L52" s="1">
        <v>12000</v>
      </c>
      <c r="M52" s="1" t="s">
        <v>28</v>
      </c>
      <c r="N52" s="1" t="s">
        <v>20</v>
      </c>
      <c r="P52" s="29" t="str">
        <f t="shared" si="0"/>
        <v>ORD1184</v>
      </c>
      <c r="Q52" s="29" t="str">
        <f t="shared" si="1"/>
        <v>Pallavi Roy</v>
      </c>
      <c r="R52" s="29" t="str">
        <f t="shared" si="2"/>
        <v>Desk</v>
      </c>
      <c r="S52" s="29" t="str">
        <f t="shared" si="3"/>
        <v>Furniture</v>
      </c>
      <c r="T52" s="29" t="str">
        <f t="shared" si="4"/>
        <v>South</v>
      </c>
      <c r="U52" s="29" t="str">
        <f t="shared" si="5"/>
        <v>Pooja Dey</v>
      </c>
      <c r="V52" s="29">
        <f t="shared" si="6"/>
        <v>1</v>
      </c>
      <c r="W52" s="29">
        <f t="shared" si="7"/>
        <v>9520</v>
      </c>
      <c r="X52" s="29">
        <f t="shared" si="8"/>
        <v>9520</v>
      </c>
      <c r="Y52" s="29">
        <v>7150</v>
      </c>
      <c r="Z52" s="29">
        <f t="shared" si="9"/>
        <v>2370</v>
      </c>
      <c r="AA52" s="29">
        <v>12000</v>
      </c>
      <c r="AB52" s="29" t="s">
        <v>28</v>
      </c>
      <c r="AC52" s="29" t="str">
        <f t="shared" si="10"/>
        <v>Delivered</v>
      </c>
    </row>
    <row r="53" spans="1:29" x14ac:dyDescent="0.3">
      <c r="A53" s="1" t="s">
        <v>132</v>
      </c>
      <c r="B53" s="1" t="s">
        <v>133</v>
      </c>
      <c r="C53" s="1" t="s">
        <v>40</v>
      </c>
      <c r="D53" s="1"/>
      <c r="E53" s="1" t="s">
        <v>41</v>
      </c>
      <c r="F53" s="1" t="s">
        <v>42</v>
      </c>
      <c r="G53" s="1">
        <v>4</v>
      </c>
      <c r="H53" s="1">
        <v>6880</v>
      </c>
      <c r="I53" s="1">
        <v>27520</v>
      </c>
      <c r="J53" s="1">
        <v>20400</v>
      </c>
      <c r="K53" s="1">
        <v>7120</v>
      </c>
      <c r="L53" s="1">
        <v>30000</v>
      </c>
      <c r="M53" s="1" t="s">
        <v>28</v>
      </c>
      <c r="N53" s="1" t="s">
        <v>20</v>
      </c>
      <c r="P53" s="29" t="str">
        <f t="shared" si="0"/>
        <v>ORD1118</v>
      </c>
      <c r="Q53" s="29" t="str">
        <f t="shared" si="1"/>
        <v>RUPSHA BANIK</v>
      </c>
      <c r="R53" s="29" t="str">
        <f t="shared" si="2"/>
        <v>Office Chair</v>
      </c>
      <c r="S53" s="29" t="str">
        <f t="shared" si="3"/>
        <v>UNKNOWN</v>
      </c>
      <c r="T53" s="29" t="str">
        <f t="shared" si="4"/>
        <v>North</v>
      </c>
      <c r="U53" s="29" t="str">
        <f t="shared" si="5"/>
        <v>Sneha Roy</v>
      </c>
      <c r="V53" s="29">
        <f t="shared" si="6"/>
        <v>4</v>
      </c>
      <c r="W53" s="29">
        <f t="shared" si="7"/>
        <v>6880</v>
      </c>
      <c r="X53" s="29">
        <f t="shared" si="8"/>
        <v>27520</v>
      </c>
      <c r="Y53" s="29">
        <v>20400</v>
      </c>
      <c r="Z53" s="29">
        <f t="shared" si="9"/>
        <v>7120</v>
      </c>
      <c r="AA53" s="29">
        <v>30000</v>
      </c>
      <c r="AB53" s="29" t="s">
        <v>28</v>
      </c>
      <c r="AC53" s="29" t="str">
        <f t="shared" si="10"/>
        <v>Delivered</v>
      </c>
    </row>
    <row r="54" spans="1:29" x14ac:dyDescent="0.3">
      <c r="A54" s="1" t="s">
        <v>134</v>
      </c>
      <c r="B54" s="1" t="s">
        <v>135</v>
      </c>
      <c r="C54" s="1" t="s">
        <v>36</v>
      </c>
      <c r="D54" s="1" t="s">
        <v>37</v>
      </c>
      <c r="E54" s="1" t="s">
        <v>41</v>
      </c>
      <c r="F54" s="1" t="s">
        <v>42</v>
      </c>
      <c r="G54" s="1">
        <v>2</v>
      </c>
      <c r="H54" s="1">
        <v>15200</v>
      </c>
      <c r="I54" s="1">
        <v>30400</v>
      </c>
      <c r="J54" s="1">
        <v>23600</v>
      </c>
      <c r="K54" s="1">
        <v>6800</v>
      </c>
      <c r="L54" s="1">
        <v>34000</v>
      </c>
      <c r="M54" s="1" t="s">
        <v>26</v>
      </c>
      <c r="N54" s="1" t="s">
        <v>20</v>
      </c>
      <c r="P54" s="29" t="str">
        <f t="shared" si="0"/>
        <v>ORD1030</v>
      </c>
      <c r="Q54" s="29" t="str">
        <f t="shared" si="1"/>
        <v>Ira Sen</v>
      </c>
      <c r="R54" s="29" t="str">
        <f t="shared" si="2"/>
        <v>Printer</v>
      </c>
      <c r="S54" s="29" t="str">
        <f t="shared" si="3"/>
        <v>Electronics</v>
      </c>
      <c r="T54" s="29" t="str">
        <f t="shared" si="4"/>
        <v>North</v>
      </c>
      <c r="U54" s="29" t="str">
        <f t="shared" si="5"/>
        <v>Sneha Roy</v>
      </c>
      <c r="V54" s="29">
        <f t="shared" si="6"/>
        <v>2</v>
      </c>
      <c r="W54" s="29">
        <f t="shared" si="7"/>
        <v>15200</v>
      </c>
      <c r="X54" s="29">
        <f t="shared" si="8"/>
        <v>30400</v>
      </c>
      <c r="Y54" s="29">
        <v>23600</v>
      </c>
      <c r="Z54" s="29">
        <f t="shared" si="9"/>
        <v>6800</v>
      </c>
      <c r="AA54" s="29">
        <v>34000</v>
      </c>
      <c r="AB54" s="29" t="s">
        <v>26</v>
      </c>
      <c r="AC54" s="29" t="str">
        <f t="shared" si="10"/>
        <v>Delivered</v>
      </c>
    </row>
    <row r="55" spans="1:29" x14ac:dyDescent="0.3">
      <c r="A55" s="1" t="s">
        <v>136</v>
      </c>
      <c r="B55" s="1" t="s">
        <v>137</v>
      </c>
      <c r="C55" s="1" t="s">
        <v>56</v>
      </c>
      <c r="D55" s="1" t="s">
        <v>37</v>
      </c>
      <c r="E55" s="1" t="s">
        <v>30</v>
      </c>
      <c r="F55" s="1" t="s">
        <v>31</v>
      </c>
      <c r="G55" s="1">
        <v>2</v>
      </c>
      <c r="H55" s="1">
        <v>56000</v>
      </c>
      <c r="I55" s="1">
        <v>112000</v>
      </c>
      <c r="J55" s="1">
        <v>93000</v>
      </c>
      <c r="K55" s="1">
        <v>19000</v>
      </c>
      <c r="L55" s="1">
        <v>125000</v>
      </c>
      <c r="M55" s="1" t="s">
        <v>19</v>
      </c>
      <c r="N55" s="1" t="s">
        <v>20</v>
      </c>
      <c r="P55" s="29" t="str">
        <f t="shared" si="0"/>
        <v>ORD1020</v>
      </c>
      <c r="Q55" s="29" t="str">
        <f t="shared" si="1"/>
        <v>Simran Kaur</v>
      </c>
      <c r="R55" s="29" t="str">
        <f t="shared" si="2"/>
        <v>Laptop</v>
      </c>
      <c r="S55" s="29" t="str">
        <f t="shared" si="3"/>
        <v>Electronics</v>
      </c>
      <c r="T55" s="29" t="str">
        <f t="shared" si="4"/>
        <v>South</v>
      </c>
      <c r="U55" s="29" t="str">
        <f t="shared" si="5"/>
        <v>Pooja Dey</v>
      </c>
      <c r="V55" s="29">
        <f t="shared" si="6"/>
        <v>2</v>
      </c>
      <c r="W55" s="29">
        <f t="shared" si="7"/>
        <v>56000</v>
      </c>
      <c r="X55" s="29">
        <f t="shared" si="8"/>
        <v>112000</v>
      </c>
      <c r="Y55" s="29">
        <v>93000</v>
      </c>
      <c r="Z55" s="29">
        <f t="shared" si="9"/>
        <v>19000</v>
      </c>
      <c r="AA55" s="29">
        <v>125000</v>
      </c>
      <c r="AB55" s="29" t="s">
        <v>19</v>
      </c>
      <c r="AC55" s="29" t="str">
        <f t="shared" si="10"/>
        <v>Delivered</v>
      </c>
    </row>
    <row r="56" spans="1:29" x14ac:dyDescent="0.3">
      <c r="A56" s="1" t="s">
        <v>138</v>
      </c>
      <c r="B56" s="1" t="s">
        <v>139</v>
      </c>
      <c r="C56" s="1" t="s">
        <v>40</v>
      </c>
      <c r="D56" s="1" t="s">
        <v>16</v>
      </c>
      <c r="E56" s="1" t="s">
        <v>30</v>
      </c>
      <c r="F56" s="1" t="s">
        <v>31</v>
      </c>
      <c r="G56" s="1">
        <v>3</v>
      </c>
      <c r="H56" s="1">
        <v>6760</v>
      </c>
      <c r="I56" s="1">
        <v>20280</v>
      </c>
      <c r="J56" s="1">
        <v>14950</v>
      </c>
      <c r="K56" s="1">
        <v>5330</v>
      </c>
      <c r="L56" s="1">
        <v>23000</v>
      </c>
      <c r="M56" s="1" t="s">
        <v>28</v>
      </c>
      <c r="N56" s="1" t="s">
        <v>43</v>
      </c>
      <c r="P56" s="29" t="str">
        <f t="shared" si="0"/>
        <v>ORD1136</v>
      </c>
      <c r="Q56" s="29" t="str">
        <f t="shared" si="1"/>
        <v>Ritika Dey</v>
      </c>
      <c r="R56" s="29" t="str">
        <f t="shared" si="2"/>
        <v>Office Chair</v>
      </c>
      <c r="S56" s="29" t="str">
        <f t="shared" si="3"/>
        <v>Furniture</v>
      </c>
      <c r="T56" s="29" t="str">
        <f t="shared" si="4"/>
        <v>South</v>
      </c>
      <c r="U56" s="29" t="str">
        <f t="shared" si="5"/>
        <v>Pooja Dey</v>
      </c>
      <c r="V56" s="29">
        <f t="shared" si="6"/>
        <v>3</v>
      </c>
      <c r="W56" s="29">
        <f t="shared" si="7"/>
        <v>6760</v>
      </c>
      <c r="X56" s="29">
        <f t="shared" si="8"/>
        <v>20280</v>
      </c>
      <c r="Y56" s="29">
        <v>14950</v>
      </c>
      <c r="Z56" s="29">
        <f t="shared" si="9"/>
        <v>5330</v>
      </c>
      <c r="AA56" s="29">
        <v>23000</v>
      </c>
      <c r="AB56" s="29" t="s">
        <v>28</v>
      </c>
      <c r="AC56" s="29" t="str">
        <f t="shared" si="10"/>
        <v>Pending</v>
      </c>
    </row>
    <row r="57" spans="1:29" x14ac:dyDescent="0.3">
      <c r="A57" s="1" t="s">
        <v>140</v>
      </c>
      <c r="B57" s="1" t="s">
        <v>141</v>
      </c>
      <c r="C57" s="1" t="s">
        <v>99</v>
      </c>
      <c r="D57" s="1" t="s">
        <v>23</v>
      </c>
      <c r="E57" s="1" t="s">
        <v>30</v>
      </c>
      <c r="F57" s="1" t="s">
        <v>31</v>
      </c>
      <c r="G57" s="1">
        <v>26</v>
      </c>
      <c r="H57" s="1">
        <v>106</v>
      </c>
      <c r="I57" s="1">
        <v>2756</v>
      </c>
      <c r="J57" s="1">
        <v>1320</v>
      </c>
      <c r="K57" s="1">
        <v>1436</v>
      </c>
      <c r="L57" s="1">
        <v>3400</v>
      </c>
      <c r="M57" s="1" t="s">
        <v>26</v>
      </c>
      <c r="N57" s="1" t="s">
        <v>20</v>
      </c>
      <c r="P57" s="29" t="str">
        <f t="shared" si="0"/>
        <v>ORD1140</v>
      </c>
      <c r="Q57" s="29" t="str">
        <f t="shared" si="1"/>
        <v>Pallavi Sen</v>
      </c>
      <c r="R57" s="29" t="str">
        <f t="shared" si="2"/>
        <v>Notebook</v>
      </c>
      <c r="S57" s="29" t="str">
        <f t="shared" si="3"/>
        <v>Stationery</v>
      </c>
      <c r="T57" s="29" t="str">
        <f t="shared" si="4"/>
        <v>South</v>
      </c>
      <c r="U57" s="29" t="str">
        <f t="shared" si="5"/>
        <v>Pooja Dey</v>
      </c>
      <c r="V57" s="29">
        <f t="shared" si="6"/>
        <v>26</v>
      </c>
      <c r="W57" s="29">
        <f t="shared" si="7"/>
        <v>106</v>
      </c>
      <c r="X57" s="29">
        <f t="shared" si="8"/>
        <v>2756</v>
      </c>
      <c r="Y57" s="29">
        <v>1320</v>
      </c>
      <c r="Z57" s="29">
        <f t="shared" si="9"/>
        <v>1436</v>
      </c>
      <c r="AA57" s="29">
        <v>3400</v>
      </c>
      <c r="AB57" s="29" t="s">
        <v>26</v>
      </c>
      <c r="AC57" s="29" t="str">
        <f t="shared" si="10"/>
        <v>Delivered</v>
      </c>
    </row>
    <row r="58" spans="1:29" x14ac:dyDescent="0.3">
      <c r="A58" s="1" t="s">
        <v>142</v>
      </c>
      <c r="B58" s="1" t="s">
        <v>143</v>
      </c>
      <c r="C58" s="1" t="s">
        <v>15</v>
      </c>
      <c r="D58" s="1" t="s">
        <v>16</v>
      </c>
      <c r="E58" s="1" t="s">
        <v>17</v>
      </c>
      <c r="F58" s="1" t="s">
        <v>18</v>
      </c>
      <c r="G58" s="1">
        <v>1</v>
      </c>
      <c r="H58" s="1">
        <v>9600</v>
      </c>
      <c r="I58" s="1">
        <v>9600</v>
      </c>
      <c r="J58" s="1">
        <v>7200</v>
      </c>
      <c r="K58" s="1">
        <v>2400</v>
      </c>
      <c r="L58" s="1">
        <v>12000</v>
      </c>
      <c r="M58" s="1" t="s">
        <v>28</v>
      </c>
      <c r="N58" s="1" t="s">
        <v>20</v>
      </c>
      <c r="P58" s="29" t="str">
        <f t="shared" si="0"/>
        <v>ORD1067</v>
      </c>
      <c r="Q58" s="29" t="str">
        <f t="shared" si="1"/>
        <v>Aman Kapoor</v>
      </c>
      <c r="R58" s="29" t="str">
        <f t="shared" si="2"/>
        <v>Desk</v>
      </c>
      <c r="S58" s="29" t="str">
        <f t="shared" si="3"/>
        <v>Furniture</v>
      </c>
      <c r="T58" s="29" t="str">
        <f t="shared" si="4"/>
        <v>West</v>
      </c>
      <c r="U58" s="29" t="str">
        <f t="shared" si="5"/>
        <v>Amit Paul</v>
      </c>
      <c r="V58" s="29">
        <f t="shared" si="6"/>
        <v>1</v>
      </c>
      <c r="W58" s="29">
        <f t="shared" si="7"/>
        <v>9600</v>
      </c>
      <c r="X58" s="29">
        <f t="shared" si="8"/>
        <v>9600</v>
      </c>
      <c r="Y58" s="29">
        <v>7200</v>
      </c>
      <c r="Z58" s="29">
        <f t="shared" si="9"/>
        <v>2400</v>
      </c>
      <c r="AA58" s="29">
        <v>12000</v>
      </c>
      <c r="AB58" s="29" t="s">
        <v>28</v>
      </c>
      <c r="AC58" s="29" t="str">
        <f t="shared" si="10"/>
        <v>Delivered</v>
      </c>
    </row>
    <row r="59" spans="1:29" x14ac:dyDescent="0.3">
      <c r="A59" s="1" t="s">
        <v>144</v>
      </c>
      <c r="B59" s="1" t="s">
        <v>145</v>
      </c>
      <c r="C59" s="1" t="s">
        <v>36</v>
      </c>
      <c r="D59" s="1" t="s">
        <v>37</v>
      </c>
      <c r="E59" s="1" t="s">
        <v>41</v>
      </c>
      <c r="F59" s="1" t="s">
        <v>42</v>
      </c>
      <c r="G59" s="1">
        <v>2</v>
      </c>
      <c r="H59" s="1">
        <v>15400</v>
      </c>
      <c r="I59" s="1">
        <v>30800</v>
      </c>
      <c r="J59" s="1">
        <v>23800</v>
      </c>
      <c r="K59" s="1">
        <v>7000</v>
      </c>
      <c r="L59" s="1">
        <v>34500</v>
      </c>
      <c r="M59" s="1" t="s">
        <v>19</v>
      </c>
      <c r="N59" s="1" t="s">
        <v>20</v>
      </c>
      <c r="P59" s="29" t="str">
        <f t="shared" si="0"/>
        <v>ORD1066</v>
      </c>
      <c r="Q59" s="29" t="str">
        <f t="shared" si="1"/>
        <v>Ritika Mukherjee</v>
      </c>
      <c r="R59" s="29" t="str">
        <f t="shared" si="2"/>
        <v>Printer</v>
      </c>
      <c r="S59" s="29" t="str">
        <f t="shared" si="3"/>
        <v>Electronics</v>
      </c>
      <c r="T59" s="29" t="str">
        <f t="shared" si="4"/>
        <v>North</v>
      </c>
      <c r="U59" s="29" t="str">
        <f t="shared" si="5"/>
        <v>Sneha Roy</v>
      </c>
      <c r="V59" s="29">
        <f t="shared" si="6"/>
        <v>2</v>
      </c>
      <c r="W59" s="29">
        <f t="shared" si="7"/>
        <v>15400</v>
      </c>
      <c r="X59" s="29">
        <f t="shared" si="8"/>
        <v>30800</v>
      </c>
      <c r="Y59" s="29">
        <v>23800</v>
      </c>
      <c r="Z59" s="29">
        <f t="shared" si="9"/>
        <v>7000</v>
      </c>
      <c r="AA59" s="29">
        <v>34500</v>
      </c>
      <c r="AB59" s="29" t="s">
        <v>19</v>
      </c>
      <c r="AC59" s="29" t="str">
        <f t="shared" si="10"/>
        <v>Delivered</v>
      </c>
    </row>
    <row r="60" spans="1:29" x14ac:dyDescent="0.3">
      <c r="A60" s="1" t="s">
        <v>146</v>
      </c>
      <c r="B60" s="1" t="s">
        <v>147</v>
      </c>
      <c r="C60" s="1" t="s">
        <v>15</v>
      </c>
      <c r="D60" s="1"/>
      <c r="E60" s="1" t="s">
        <v>41</v>
      </c>
      <c r="F60" s="1" t="s">
        <v>42</v>
      </c>
      <c r="G60" s="1">
        <v>2</v>
      </c>
      <c r="H60" s="1">
        <v>9000</v>
      </c>
      <c r="I60" s="1">
        <v>18000</v>
      </c>
      <c r="J60" s="1">
        <v>13000</v>
      </c>
      <c r="K60" s="1">
        <v>5000</v>
      </c>
      <c r="L60" s="1">
        <v>20000</v>
      </c>
      <c r="M60" s="1" t="s">
        <v>28</v>
      </c>
      <c r="N60" s="1" t="s">
        <v>43</v>
      </c>
      <c r="P60" s="29" t="str">
        <f t="shared" si="0"/>
        <v>ORD1006</v>
      </c>
      <c r="Q60" s="29" t="str">
        <f t="shared" si="1"/>
        <v>Karan Bose</v>
      </c>
      <c r="R60" s="29" t="str">
        <f t="shared" si="2"/>
        <v>Desk</v>
      </c>
      <c r="S60" s="29" t="str">
        <f t="shared" si="3"/>
        <v>UNKNOWN</v>
      </c>
      <c r="T60" s="29" t="str">
        <f t="shared" si="4"/>
        <v>North</v>
      </c>
      <c r="U60" s="29" t="str">
        <f t="shared" si="5"/>
        <v>Sneha Roy</v>
      </c>
      <c r="V60" s="29">
        <f t="shared" si="6"/>
        <v>2</v>
      </c>
      <c r="W60" s="29">
        <f t="shared" si="7"/>
        <v>9000</v>
      </c>
      <c r="X60" s="29">
        <f t="shared" si="8"/>
        <v>18000</v>
      </c>
      <c r="Y60" s="29">
        <v>13000</v>
      </c>
      <c r="Z60" s="29">
        <f t="shared" si="9"/>
        <v>5000</v>
      </c>
      <c r="AA60" s="29">
        <v>20000</v>
      </c>
      <c r="AB60" s="29" t="s">
        <v>28</v>
      </c>
      <c r="AC60" s="29" t="str">
        <f t="shared" si="10"/>
        <v>Pending</v>
      </c>
    </row>
    <row r="61" spans="1:29" x14ac:dyDescent="0.3">
      <c r="A61" s="1" t="s">
        <v>148</v>
      </c>
      <c r="B61" s="1" t="s">
        <v>149</v>
      </c>
      <c r="C61" s="1"/>
      <c r="D61" s="1" t="s">
        <v>37</v>
      </c>
      <c r="E61" s="1" t="s">
        <v>17</v>
      </c>
      <c r="F61" s="1" t="s">
        <v>18</v>
      </c>
      <c r="G61" s="1">
        <v>1</v>
      </c>
      <c r="H61" s="1">
        <v>15240</v>
      </c>
      <c r="I61" s="1">
        <v>15240</v>
      </c>
      <c r="J61" s="1">
        <v>11980</v>
      </c>
      <c r="K61" s="1">
        <v>3260</v>
      </c>
      <c r="L61" s="1">
        <v>17500</v>
      </c>
      <c r="M61" s="1" t="s">
        <v>19</v>
      </c>
      <c r="N61" s="1" t="s">
        <v>20</v>
      </c>
      <c r="P61" s="29" t="str">
        <f t="shared" si="0"/>
        <v>ORD1147</v>
      </c>
      <c r="Q61" s="29" t="str">
        <f t="shared" si="1"/>
        <v>Kunal Ghosh</v>
      </c>
      <c r="R61" s="29" t="str">
        <f t="shared" si="2"/>
        <v>UNKNOWN</v>
      </c>
      <c r="S61" s="29" t="str">
        <f t="shared" si="3"/>
        <v>Electronics</v>
      </c>
      <c r="T61" s="29" t="str">
        <f t="shared" si="4"/>
        <v>West</v>
      </c>
      <c r="U61" s="29" t="str">
        <f t="shared" si="5"/>
        <v>Amit Paul</v>
      </c>
      <c r="V61" s="29">
        <f t="shared" si="6"/>
        <v>1</v>
      </c>
      <c r="W61" s="29">
        <f t="shared" si="7"/>
        <v>15240</v>
      </c>
      <c r="X61" s="29">
        <f t="shared" si="8"/>
        <v>15240</v>
      </c>
      <c r="Y61" s="29">
        <v>11980</v>
      </c>
      <c r="Z61" s="29">
        <f t="shared" si="9"/>
        <v>3260</v>
      </c>
      <c r="AA61" s="29">
        <v>17500</v>
      </c>
      <c r="AB61" s="29" t="s">
        <v>19</v>
      </c>
      <c r="AC61" s="29" t="str">
        <f t="shared" si="10"/>
        <v>Delivered</v>
      </c>
    </row>
    <row r="62" spans="1:29" x14ac:dyDescent="0.3">
      <c r="A62" s="1" t="s">
        <v>150</v>
      </c>
      <c r="B62" s="1" t="s">
        <v>151</v>
      </c>
      <c r="C62" s="1" t="s">
        <v>36</v>
      </c>
      <c r="D62" s="1" t="s">
        <v>37</v>
      </c>
      <c r="E62" s="1" t="s">
        <v>24</v>
      </c>
      <c r="F62" s="1" t="s">
        <v>25</v>
      </c>
      <c r="G62" s="1">
        <v>1</v>
      </c>
      <c r="H62" s="1">
        <v>15300</v>
      </c>
      <c r="I62" s="1">
        <v>15300</v>
      </c>
      <c r="J62" s="1">
        <v>11900</v>
      </c>
      <c r="K62" s="1">
        <v>3400</v>
      </c>
      <c r="L62" s="1">
        <v>17500</v>
      </c>
      <c r="M62" s="1" t="s">
        <v>19</v>
      </c>
      <c r="N62" s="1" t="s">
        <v>20</v>
      </c>
      <c r="P62" s="29" t="str">
        <f t="shared" si="0"/>
        <v>ORD1057</v>
      </c>
      <c r="Q62" s="29" t="str">
        <f t="shared" si="1"/>
        <v>Rohan Das</v>
      </c>
      <c r="R62" s="29" t="str">
        <f t="shared" si="2"/>
        <v>Printer</v>
      </c>
      <c r="S62" s="29" t="str">
        <f t="shared" si="3"/>
        <v>Electronics</v>
      </c>
      <c r="T62" s="29" t="str">
        <f t="shared" si="4"/>
        <v>East</v>
      </c>
      <c r="U62" s="29" t="str">
        <f t="shared" si="5"/>
        <v>Rahul Das</v>
      </c>
      <c r="V62" s="29">
        <f t="shared" si="6"/>
        <v>1</v>
      </c>
      <c r="W62" s="29">
        <f t="shared" si="7"/>
        <v>15300</v>
      </c>
      <c r="X62" s="29">
        <f t="shared" si="8"/>
        <v>15300</v>
      </c>
      <c r="Y62" s="29">
        <v>11900</v>
      </c>
      <c r="Z62" s="29">
        <f t="shared" si="9"/>
        <v>3400</v>
      </c>
      <c r="AA62" s="29">
        <v>17500</v>
      </c>
      <c r="AB62" s="29" t="s">
        <v>19</v>
      </c>
      <c r="AC62" s="29" t="str">
        <f t="shared" si="10"/>
        <v>Delivered</v>
      </c>
    </row>
    <row r="63" spans="1:29" x14ac:dyDescent="0.3">
      <c r="A63" s="1" t="s">
        <v>152</v>
      </c>
      <c r="B63" s="1" t="s">
        <v>153</v>
      </c>
      <c r="C63" s="1" t="s">
        <v>47</v>
      </c>
      <c r="D63" s="1" t="s">
        <v>23</v>
      </c>
      <c r="E63" s="1" t="s">
        <v>41</v>
      </c>
      <c r="F63" s="1" t="s">
        <v>42</v>
      </c>
      <c r="G63" s="1">
        <v>19</v>
      </c>
      <c r="H63" s="1">
        <v>260</v>
      </c>
      <c r="I63" s="1">
        <v>4940</v>
      </c>
      <c r="J63" s="1">
        <v>2050</v>
      </c>
      <c r="K63" s="1">
        <v>2890</v>
      </c>
      <c r="L63" s="1">
        <v>5500</v>
      </c>
      <c r="M63" s="1" t="s">
        <v>26</v>
      </c>
      <c r="N63" s="1" t="s">
        <v>20</v>
      </c>
      <c r="P63" s="29" t="str">
        <f t="shared" si="0"/>
        <v>ORD1098</v>
      </c>
      <c r="Q63" s="29" t="str">
        <f t="shared" si="1"/>
        <v>Pooja Sinha</v>
      </c>
      <c r="R63" s="29" t="str">
        <f t="shared" si="2"/>
        <v>Marker Set</v>
      </c>
      <c r="S63" s="29" t="str">
        <f t="shared" si="3"/>
        <v>Stationery</v>
      </c>
      <c r="T63" s="29" t="str">
        <f t="shared" si="4"/>
        <v>North</v>
      </c>
      <c r="U63" s="29" t="str">
        <f t="shared" si="5"/>
        <v>Sneha Roy</v>
      </c>
      <c r="V63" s="29">
        <f t="shared" si="6"/>
        <v>19</v>
      </c>
      <c r="W63" s="29">
        <f t="shared" si="7"/>
        <v>260</v>
      </c>
      <c r="X63" s="29">
        <f t="shared" si="8"/>
        <v>4940</v>
      </c>
      <c r="Y63" s="29">
        <v>2050</v>
      </c>
      <c r="Z63" s="29">
        <f t="shared" si="9"/>
        <v>2890</v>
      </c>
      <c r="AA63" s="29">
        <v>5500</v>
      </c>
      <c r="AB63" s="29" t="s">
        <v>26</v>
      </c>
      <c r="AC63" s="29" t="str">
        <f t="shared" si="10"/>
        <v>Delivered</v>
      </c>
    </row>
    <row r="64" spans="1:29" x14ac:dyDescent="0.3">
      <c r="A64" s="1" t="s">
        <v>154</v>
      </c>
      <c r="B64" s="1" t="s">
        <v>155</v>
      </c>
      <c r="C64" s="1" t="s">
        <v>36</v>
      </c>
      <c r="D64" s="1" t="s">
        <v>37</v>
      </c>
      <c r="E64" s="1" t="s">
        <v>24</v>
      </c>
      <c r="F64" s="1" t="s">
        <v>25</v>
      </c>
      <c r="G64" s="1">
        <v>1</v>
      </c>
      <c r="H64" s="1">
        <v>15180</v>
      </c>
      <c r="I64" s="1">
        <v>15180</v>
      </c>
      <c r="J64" s="1">
        <v>11950</v>
      </c>
      <c r="K64" s="1">
        <v>3230</v>
      </c>
      <c r="L64" s="1">
        <v>17500</v>
      </c>
      <c r="M64" s="1" t="s">
        <v>19</v>
      </c>
      <c r="N64" s="1" t="s">
        <v>20</v>
      </c>
      <c r="P64" s="29" t="str">
        <f t="shared" si="0"/>
        <v>ORD1129</v>
      </c>
      <c r="Q64" s="29" t="str">
        <f t="shared" si="1"/>
        <v>Sohini Saha</v>
      </c>
      <c r="R64" s="29" t="str">
        <f t="shared" si="2"/>
        <v>Printer</v>
      </c>
      <c r="S64" s="29" t="str">
        <f t="shared" si="3"/>
        <v>Electronics</v>
      </c>
      <c r="T64" s="29" t="str">
        <f t="shared" si="4"/>
        <v>East</v>
      </c>
      <c r="U64" s="29" t="str">
        <f t="shared" si="5"/>
        <v>Rahul Das</v>
      </c>
      <c r="V64" s="29">
        <f t="shared" si="6"/>
        <v>1</v>
      </c>
      <c r="W64" s="29">
        <f t="shared" si="7"/>
        <v>15180</v>
      </c>
      <c r="X64" s="29">
        <f t="shared" si="8"/>
        <v>15180</v>
      </c>
      <c r="Y64" s="29">
        <v>11950</v>
      </c>
      <c r="Z64" s="29">
        <f t="shared" si="9"/>
        <v>3230</v>
      </c>
      <c r="AA64" s="29">
        <v>17500</v>
      </c>
      <c r="AB64" s="29" t="s">
        <v>19</v>
      </c>
      <c r="AC64" s="29" t="str">
        <f t="shared" si="10"/>
        <v>Delivered</v>
      </c>
    </row>
    <row r="65" spans="1:29" x14ac:dyDescent="0.3">
      <c r="A65" s="1" t="s">
        <v>156</v>
      </c>
      <c r="B65" s="1" t="s">
        <v>157</v>
      </c>
      <c r="C65" s="1" t="s">
        <v>47</v>
      </c>
      <c r="D65" s="1" t="s">
        <v>23</v>
      </c>
      <c r="E65" s="1" t="s">
        <v>30</v>
      </c>
      <c r="F65" s="1" t="s">
        <v>31</v>
      </c>
      <c r="G65" s="1">
        <v>17</v>
      </c>
      <c r="H65" s="1">
        <v>258</v>
      </c>
      <c r="I65" s="1">
        <v>4386</v>
      </c>
      <c r="J65" s="1">
        <v>1850</v>
      </c>
      <c r="K65" s="1">
        <v>2536</v>
      </c>
      <c r="L65" s="1">
        <v>5000</v>
      </c>
      <c r="M65" s="1" t="s">
        <v>26</v>
      </c>
      <c r="N65" s="1" t="s">
        <v>20</v>
      </c>
      <c r="P65" s="29" t="str">
        <f t="shared" si="0"/>
        <v>ORD1080</v>
      </c>
      <c r="Q65" s="29" t="str">
        <f t="shared" si="1"/>
        <v>Shreya Ghosh</v>
      </c>
      <c r="R65" s="29" t="str">
        <f t="shared" si="2"/>
        <v>Marker Set</v>
      </c>
      <c r="S65" s="29" t="str">
        <f t="shared" si="3"/>
        <v>Stationery</v>
      </c>
      <c r="T65" s="29" t="str">
        <f t="shared" si="4"/>
        <v>South</v>
      </c>
      <c r="U65" s="29" t="str">
        <f t="shared" si="5"/>
        <v>Pooja Dey</v>
      </c>
      <c r="V65" s="29">
        <f t="shared" si="6"/>
        <v>17</v>
      </c>
      <c r="W65" s="29">
        <f t="shared" si="7"/>
        <v>258</v>
      </c>
      <c r="X65" s="29">
        <f t="shared" si="8"/>
        <v>4386</v>
      </c>
      <c r="Y65" s="29">
        <v>1850</v>
      </c>
      <c r="Z65" s="29">
        <f t="shared" si="9"/>
        <v>2536</v>
      </c>
      <c r="AA65" s="29">
        <v>5000</v>
      </c>
      <c r="AB65" s="29" t="s">
        <v>26</v>
      </c>
      <c r="AC65" s="29" t="str">
        <f t="shared" si="10"/>
        <v>Delivered</v>
      </c>
    </row>
    <row r="66" spans="1:29" x14ac:dyDescent="0.3">
      <c r="A66" s="1" t="s">
        <v>158</v>
      </c>
      <c r="B66" s="1" t="s">
        <v>159</v>
      </c>
      <c r="C66" s="1" t="s">
        <v>47</v>
      </c>
      <c r="D66" s="1" t="s">
        <v>23</v>
      </c>
      <c r="E66" s="1" t="s">
        <v>30</v>
      </c>
      <c r="F66" s="1" t="s">
        <v>31</v>
      </c>
      <c r="G66" s="1">
        <v>18</v>
      </c>
      <c r="H66" s="1">
        <v>262</v>
      </c>
      <c r="I66" s="1">
        <v>4716</v>
      </c>
      <c r="J66" s="1">
        <v>1950</v>
      </c>
      <c r="K66" s="1">
        <v>2766</v>
      </c>
      <c r="L66" s="1">
        <v>5200</v>
      </c>
      <c r="M66" s="1" t="s">
        <v>26</v>
      </c>
      <c r="N66" s="1" t="s">
        <v>20</v>
      </c>
      <c r="P66" s="29" t="str">
        <f t="shared" si="0"/>
        <v>ORD1116</v>
      </c>
      <c r="Q66" s="29" t="str">
        <f t="shared" si="1"/>
        <v>Shivani Mukherjee</v>
      </c>
      <c r="R66" s="29" t="str">
        <f t="shared" si="2"/>
        <v>Marker Set</v>
      </c>
      <c r="S66" s="29" t="str">
        <f t="shared" si="3"/>
        <v>Stationery</v>
      </c>
      <c r="T66" s="29" t="str">
        <f t="shared" si="4"/>
        <v>South</v>
      </c>
      <c r="U66" s="29" t="str">
        <f t="shared" si="5"/>
        <v>Pooja Dey</v>
      </c>
      <c r="V66" s="29">
        <f t="shared" si="6"/>
        <v>18</v>
      </c>
      <c r="W66" s="29">
        <f t="shared" si="7"/>
        <v>262</v>
      </c>
      <c r="X66" s="29">
        <f t="shared" si="8"/>
        <v>4716</v>
      </c>
      <c r="Y66" s="29">
        <v>1950</v>
      </c>
      <c r="Z66" s="29">
        <f t="shared" si="9"/>
        <v>2766</v>
      </c>
      <c r="AA66" s="29">
        <v>5200</v>
      </c>
      <c r="AB66" s="29" t="s">
        <v>26</v>
      </c>
      <c r="AC66" s="29" t="str">
        <f t="shared" si="10"/>
        <v>Delivered</v>
      </c>
    </row>
    <row r="67" spans="1:29" x14ac:dyDescent="0.3">
      <c r="A67" s="1" t="s">
        <v>160</v>
      </c>
      <c r="B67" s="1" t="s">
        <v>161</v>
      </c>
      <c r="C67" s="1" t="s">
        <v>15</v>
      </c>
      <c r="D67" s="1" t="s">
        <v>16</v>
      </c>
      <c r="E67" s="1" t="s">
        <v>17</v>
      </c>
      <c r="F67" s="1" t="s">
        <v>18</v>
      </c>
      <c r="G67" s="1">
        <v>2</v>
      </c>
      <c r="H67" s="1">
        <v>9400</v>
      </c>
      <c r="I67" s="1">
        <v>18800</v>
      </c>
      <c r="J67" s="1">
        <v>13950</v>
      </c>
      <c r="K67" s="1">
        <v>4850</v>
      </c>
      <c r="L67" s="1">
        <v>21000</v>
      </c>
      <c r="M67" s="1" t="s">
        <v>28</v>
      </c>
      <c r="N67" s="1" t="s">
        <v>20</v>
      </c>
      <c r="P67" s="29" t="str">
        <f t="shared" ref="P67:P130" si="11">IF(COUNTBLANK(A67)=0,A67,"GUEST USER")</f>
        <v>ORD1175</v>
      </c>
      <c r="Q67" s="29" t="str">
        <f t="shared" ref="Q67:Q130" si="12">IF(COUNTBLANK(B67)=0,B67,"UNKNOWN")</f>
        <v>Debashis Roy</v>
      </c>
      <c r="R67" s="29" t="str">
        <f t="shared" ref="R67:R130" si="13">IF(COUNTBLANK(C67)=0,C67,"UNKNOWN")</f>
        <v>Desk</v>
      </c>
      <c r="S67" s="29" t="str">
        <f t="shared" ref="S67:S130" si="14">IF(COUNTBLANK(D67)=0,D67,"UNKNOWN")</f>
        <v>Furniture</v>
      </c>
      <c r="T67" s="29" t="str">
        <f t="shared" ref="T67:T130" si="15">IF(COUNTBLANK(E67)=0,E67,"UNKNOWN")</f>
        <v>West</v>
      </c>
      <c r="U67" s="29" t="str">
        <f t="shared" ref="U67:U130" si="16">IF(COUNTBLANK(F67)=0,F67,"SOMEONE")</f>
        <v>Amit Paul</v>
      </c>
      <c r="V67" s="29">
        <f t="shared" ref="V67:V130" si="17">IF(COUNTBLANK(G67)=0,G67,0)</f>
        <v>2</v>
      </c>
      <c r="W67" s="29">
        <f t="shared" ref="W67:W130" si="18">IF(COUNTBLANK(H67)=0,H67,0)</f>
        <v>9400</v>
      </c>
      <c r="X67" s="29">
        <f t="shared" ref="X67:X130" si="19">H67*G67</f>
        <v>18800</v>
      </c>
      <c r="Y67" s="29">
        <v>13950</v>
      </c>
      <c r="Z67" s="29">
        <f t="shared" ref="Z67:Z130" si="20">X67-Y67</f>
        <v>4850</v>
      </c>
      <c r="AA67" s="29">
        <v>21000</v>
      </c>
      <c r="AB67" s="29" t="s">
        <v>28</v>
      </c>
      <c r="AC67" s="29" t="str">
        <f t="shared" ref="AC67:AC130" si="21">IF(COUNTBLANK(N67)=0,N67,"Processing")</f>
        <v>Delivered</v>
      </c>
    </row>
    <row r="68" spans="1:29" x14ac:dyDescent="0.3">
      <c r="A68" s="1" t="s">
        <v>162</v>
      </c>
      <c r="B68" s="1" t="s">
        <v>163</v>
      </c>
      <c r="C68" s="1" t="s">
        <v>99</v>
      </c>
      <c r="D68" s="1" t="s">
        <v>23</v>
      </c>
      <c r="E68" s="1" t="s">
        <v>30</v>
      </c>
      <c r="F68" s="1" t="s">
        <v>31</v>
      </c>
      <c r="G68" s="1">
        <v>35</v>
      </c>
      <c r="H68" s="1">
        <v>95</v>
      </c>
      <c r="I68" s="1">
        <v>3325</v>
      </c>
      <c r="J68" s="1">
        <v>1600</v>
      </c>
      <c r="K68" s="1">
        <v>1725</v>
      </c>
      <c r="L68" s="1">
        <v>4200</v>
      </c>
      <c r="M68" s="1" t="s">
        <v>28</v>
      </c>
      <c r="N68" s="1" t="s">
        <v>20</v>
      </c>
      <c r="P68" s="29" t="str">
        <f t="shared" si="11"/>
        <v>ORD1032</v>
      </c>
      <c r="Q68" s="29" t="str">
        <f t="shared" si="12"/>
        <v>Ankita Pal</v>
      </c>
      <c r="R68" s="29" t="str">
        <f t="shared" si="13"/>
        <v>Notebook</v>
      </c>
      <c r="S68" s="29" t="str">
        <f t="shared" si="14"/>
        <v>Stationery</v>
      </c>
      <c r="T68" s="29" t="str">
        <f t="shared" si="15"/>
        <v>South</v>
      </c>
      <c r="U68" s="29" t="str">
        <f t="shared" si="16"/>
        <v>Pooja Dey</v>
      </c>
      <c r="V68" s="29">
        <f t="shared" si="17"/>
        <v>35</v>
      </c>
      <c r="W68" s="29">
        <f t="shared" si="18"/>
        <v>95</v>
      </c>
      <c r="X68" s="29">
        <f t="shared" si="19"/>
        <v>3325</v>
      </c>
      <c r="Y68" s="29">
        <v>1600</v>
      </c>
      <c r="Z68" s="29">
        <f t="shared" si="20"/>
        <v>1725</v>
      </c>
      <c r="AA68" s="29">
        <v>4200</v>
      </c>
      <c r="AB68" s="29" t="s">
        <v>28</v>
      </c>
      <c r="AC68" s="29" t="str">
        <f t="shared" si="21"/>
        <v>Delivered</v>
      </c>
    </row>
    <row r="69" spans="1:29" x14ac:dyDescent="0.3">
      <c r="A69" s="1" t="s">
        <v>164</v>
      </c>
      <c r="B69" s="1" t="s">
        <v>53</v>
      </c>
      <c r="C69" s="1" t="s">
        <v>99</v>
      </c>
      <c r="D69" s="1" t="s">
        <v>23</v>
      </c>
      <c r="E69" s="1" t="s">
        <v>24</v>
      </c>
      <c r="F69" s="1" t="s">
        <v>25</v>
      </c>
      <c r="G69" s="1">
        <v>25</v>
      </c>
      <c r="H69" s="1">
        <v>100</v>
      </c>
      <c r="I69" s="1">
        <v>2500</v>
      </c>
      <c r="J69" s="1">
        <v>1300</v>
      </c>
      <c r="K69" s="1">
        <v>1200</v>
      </c>
      <c r="L69" s="1">
        <v>3200</v>
      </c>
      <c r="M69" s="1" t="s">
        <v>26</v>
      </c>
      <c r="N69" s="1" t="s">
        <v>20</v>
      </c>
      <c r="P69" s="29" t="str">
        <f t="shared" si="11"/>
        <v>ORD1013</v>
      </c>
      <c r="Q69" s="29" t="str">
        <f t="shared" si="12"/>
        <v>Ritika Sen</v>
      </c>
      <c r="R69" s="29" t="str">
        <f t="shared" si="13"/>
        <v>Notebook</v>
      </c>
      <c r="S69" s="29" t="str">
        <f t="shared" si="14"/>
        <v>Stationery</v>
      </c>
      <c r="T69" s="29" t="str">
        <f t="shared" si="15"/>
        <v>East</v>
      </c>
      <c r="U69" s="29" t="str">
        <f t="shared" si="16"/>
        <v>Rahul Das</v>
      </c>
      <c r="V69" s="29">
        <f t="shared" si="17"/>
        <v>25</v>
      </c>
      <c r="W69" s="29">
        <f t="shared" si="18"/>
        <v>100</v>
      </c>
      <c r="X69" s="29">
        <f t="shared" si="19"/>
        <v>2500</v>
      </c>
      <c r="Y69" s="29">
        <v>1300</v>
      </c>
      <c r="Z69" s="29">
        <f t="shared" si="20"/>
        <v>1200</v>
      </c>
      <c r="AA69" s="29">
        <v>3200</v>
      </c>
      <c r="AB69" s="29" t="s">
        <v>26</v>
      </c>
      <c r="AC69" s="29" t="str">
        <f t="shared" si="21"/>
        <v>Delivered</v>
      </c>
    </row>
    <row r="70" spans="1:29" x14ac:dyDescent="0.3">
      <c r="A70" s="1" t="s">
        <v>165</v>
      </c>
      <c r="B70" s="1" t="s">
        <v>166</v>
      </c>
      <c r="C70" s="1" t="s">
        <v>56</v>
      </c>
      <c r="D70" s="1" t="s">
        <v>37</v>
      </c>
      <c r="E70" s="1" t="s">
        <v>30</v>
      </c>
      <c r="F70" s="1" t="s">
        <v>31</v>
      </c>
      <c r="G70" s="1">
        <v>2</v>
      </c>
      <c r="H70" s="1">
        <v>56500</v>
      </c>
      <c r="I70" s="1">
        <v>113000</v>
      </c>
      <c r="J70" s="1">
        <v>94000</v>
      </c>
      <c r="K70" s="1">
        <v>19000</v>
      </c>
      <c r="L70" s="1">
        <v>126000</v>
      </c>
      <c r="M70" s="1" t="s">
        <v>26</v>
      </c>
      <c r="N70" s="1" t="s">
        <v>20</v>
      </c>
      <c r="P70" s="29" t="str">
        <f t="shared" si="11"/>
        <v>ORD1036</v>
      </c>
      <c r="Q70" s="29" t="str">
        <f t="shared" si="12"/>
        <v>Pallavi Dey</v>
      </c>
      <c r="R70" s="29" t="str">
        <f t="shared" si="13"/>
        <v>Laptop</v>
      </c>
      <c r="S70" s="29" t="str">
        <f t="shared" si="14"/>
        <v>Electronics</v>
      </c>
      <c r="T70" s="29" t="str">
        <f t="shared" si="15"/>
        <v>South</v>
      </c>
      <c r="U70" s="29" t="str">
        <f t="shared" si="16"/>
        <v>Pooja Dey</v>
      </c>
      <c r="V70" s="29">
        <f t="shared" si="17"/>
        <v>2</v>
      </c>
      <c r="W70" s="29">
        <f t="shared" si="18"/>
        <v>56500</v>
      </c>
      <c r="X70" s="29">
        <f t="shared" si="19"/>
        <v>113000</v>
      </c>
      <c r="Y70" s="29">
        <v>94000</v>
      </c>
      <c r="Z70" s="29">
        <f t="shared" si="20"/>
        <v>19000</v>
      </c>
      <c r="AA70" s="29">
        <v>126000</v>
      </c>
      <c r="AB70" s="29" t="s">
        <v>26</v>
      </c>
      <c r="AC70" s="29" t="str">
        <f t="shared" si="21"/>
        <v>Delivered</v>
      </c>
    </row>
    <row r="71" spans="1:29" x14ac:dyDescent="0.3">
      <c r="A71" s="1" t="s">
        <v>167</v>
      </c>
      <c r="B71" s="1" t="s">
        <v>168</v>
      </c>
      <c r="C71" s="1" t="s">
        <v>22</v>
      </c>
      <c r="D71" s="1" t="s">
        <v>23</v>
      </c>
      <c r="E71" s="1" t="s">
        <v>24</v>
      </c>
      <c r="F71" s="1" t="s">
        <v>25</v>
      </c>
      <c r="G71" s="1">
        <v>28</v>
      </c>
      <c r="H71" s="1">
        <v>145</v>
      </c>
      <c r="I71" s="1">
        <v>4060</v>
      </c>
      <c r="J71" s="1">
        <v>1750</v>
      </c>
      <c r="K71" s="1">
        <v>2310</v>
      </c>
      <c r="L71" s="1">
        <v>4800</v>
      </c>
      <c r="M71" s="1" t="s">
        <v>28</v>
      </c>
      <c r="N71" s="1" t="s">
        <v>20</v>
      </c>
      <c r="P71" s="29" t="str">
        <f t="shared" si="11"/>
        <v>ORD1029</v>
      </c>
      <c r="Q71" s="29" t="str">
        <f t="shared" si="12"/>
        <v>Tanmay Roy</v>
      </c>
      <c r="R71" s="29" t="str">
        <f t="shared" si="13"/>
        <v>Pen Pack</v>
      </c>
      <c r="S71" s="29" t="str">
        <f t="shared" si="14"/>
        <v>Stationery</v>
      </c>
      <c r="T71" s="29" t="str">
        <f t="shared" si="15"/>
        <v>East</v>
      </c>
      <c r="U71" s="29" t="str">
        <f t="shared" si="16"/>
        <v>Rahul Das</v>
      </c>
      <c r="V71" s="29">
        <f t="shared" si="17"/>
        <v>28</v>
      </c>
      <c r="W71" s="29">
        <f t="shared" si="18"/>
        <v>145</v>
      </c>
      <c r="X71" s="29">
        <f t="shared" si="19"/>
        <v>4060</v>
      </c>
      <c r="Y71" s="29">
        <v>1750</v>
      </c>
      <c r="Z71" s="29">
        <f t="shared" si="20"/>
        <v>2310</v>
      </c>
      <c r="AA71" s="29">
        <v>4800</v>
      </c>
      <c r="AB71" s="29" t="s">
        <v>28</v>
      </c>
      <c r="AC71" s="29" t="str">
        <f t="shared" si="21"/>
        <v>Delivered</v>
      </c>
    </row>
    <row r="72" spans="1:29" x14ac:dyDescent="0.3">
      <c r="A72" s="1" t="s">
        <v>169</v>
      </c>
      <c r="B72" s="1" t="s">
        <v>170</v>
      </c>
      <c r="C72" s="1" t="s">
        <v>33</v>
      </c>
      <c r="D72" s="1" t="s">
        <v>16</v>
      </c>
      <c r="E72" s="1" t="s">
        <v>17</v>
      </c>
      <c r="F72" s="1" t="s">
        <v>18</v>
      </c>
      <c r="G72" s="1">
        <v>1</v>
      </c>
      <c r="H72" s="1">
        <v>10900</v>
      </c>
      <c r="I72" s="1">
        <v>10900</v>
      </c>
      <c r="J72" s="1">
        <v>8300</v>
      </c>
      <c r="K72" s="1">
        <v>2600</v>
      </c>
      <c r="L72" s="1" t="s">
        <v>28</v>
      </c>
      <c r="M72" s="1" t="s">
        <v>20</v>
      </c>
      <c r="N72" s="1"/>
      <c r="P72" s="29" t="str">
        <f t="shared" si="11"/>
        <v>ORD1043</v>
      </c>
      <c r="Q72" s="29" t="str">
        <f t="shared" si="12"/>
        <v>Rahul Mehta</v>
      </c>
      <c r="R72" s="29" t="str">
        <f t="shared" si="13"/>
        <v>Bookshelf</v>
      </c>
      <c r="S72" s="29" t="str">
        <f t="shared" si="14"/>
        <v>Furniture</v>
      </c>
      <c r="T72" s="29" t="str">
        <f t="shared" si="15"/>
        <v>West</v>
      </c>
      <c r="U72" s="29" t="str">
        <f t="shared" si="16"/>
        <v>Amit Paul</v>
      </c>
      <c r="V72" s="29">
        <f t="shared" si="17"/>
        <v>1</v>
      </c>
      <c r="W72" s="29">
        <f t="shared" si="18"/>
        <v>10900</v>
      </c>
      <c r="X72" s="29">
        <f t="shared" si="19"/>
        <v>10900</v>
      </c>
      <c r="Y72" s="29">
        <v>8300</v>
      </c>
      <c r="Z72" s="29">
        <f t="shared" si="20"/>
        <v>2600</v>
      </c>
      <c r="AA72" s="29" t="s">
        <v>28</v>
      </c>
      <c r="AB72" s="29" t="s">
        <v>28</v>
      </c>
      <c r="AC72" s="29" t="str">
        <f t="shared" si="21"/>
        <v>Processing</v>
      </c>
    </row>
    <row r="73" spans="1:29" x14ac:dyDescent="0.3">
      <c r="A73" s="1" t="s">
        <v>171</v>
      </c>
      <c r="B73" s="1" t="s">
        <v>172</v>
      </c>
      <c r="C73" s="1" t="s">
        <v>56</v>
      </c>
      <c r="D73" s="1" t="s">
        <v>37</v>
      </c>
      <c r="E73" s="1" t="s">
        <v>17</v>
      </c>
      <c r="F73" s="1" t="s">
        <v>18</v>
      </c>
      <c r="G73" s="1">
        <v>1</v>
      </c>
      <c r="H73" s="1">
        <v>58200</v>
      </c>
      <c r="I73" s="1">
        <v>58200</v>
      </c>
      <c r="J73" s="1">
        <v>46600</v>
      </c>
      <c r="K73" s="1">
        <v>11600</v>
      </c>
      <c r="L73" s="1">
        <v>65000</v>
      </c>
      <c r="M73" s="1" t="s">
        <v>19</v>
      </c>
      <c r="N73" s="1" t="s">
        <v>20</v>
      </c>
      <c r="P73" s="29" t="str">
        <f t="shared" si="11"/>
        <v>ORD1099</v>
      </c>
      <c r="Q73" s="29" t="str">
        <f t="shared" si="12"/>
        <v>Vivek Dutta</v>
      </c>
      <c r="R73" s="29" t="str">
        <f t="shared" si="13"/>
        <v>Laptop</v>
      </c>
      <c r="S73" s="29" t="str">
        <f t="shared" si="14"/>
        <v>Electronics</v>
      </c>
      <c r="T73" s="29" t="str">
        <f t="shared" si="15"/>
        <v>West</v>
      </c>
      <c r="U73" s="29" t="str">
        <f t="shared" si="16"/>
        <v>Amit Paul</v>
      </c>
      <c r="V73" s="29">
        <f t="shared" si="17"/>
        <v>1</v>
      </c>
      <c r="W73" s="29">
        <f t="shared" si="18"/>
        <v>58200</v>
      </c>
      <c r="X73" s="29">
        <f t="shared" si="19"/>
        <v>58200</v>
      </c>
      <c r="Y73" s="29">
        <v>46600</v>
      </c>
      <c r="Z73" s="29">
        <f t="shared" si="20"/>
        <v>11600</v>
      </c>
      <c r="AA73" s="29">
        <v>65000</v>
      </c>
      <c r="AB73" s="29" t="s">
        <v>19</v>
      </c>
      <c r="AC73" s="29" t="str">
        <f t="shared" si="21"/>
        <v>Delivered</v>
      </c>
    </row>
    <row r="74" spans="1:29" x14ac:dyDescent="0.3">
      <c r="A74" s="1" t="s">
        <v>173</v>
      </c>
      <c r="B74" s="1" t="s">
        <v>174</v>
      </c>
      <c r="C74" s="1" t="s">
        <v>56</v>
      </c>
      <c r="D74" s="1" t="s">
        <v>37</v>
      </c>
      <c r="E74" s="1" t="s">
        <v>30</v>
      </c>
      <c r="F74" s="1" t="s">
        <v>31</v>
      </c>
      <c r="G74" s="1">
        <v>2</v>
      </c>
      <c r="H74" s="1">
        <v>56900</v>
      </c>
      <c r="I74" s="1">
        <v>113800</v>
      </c>
      <c r="J74" s="1">
        <v>94400</v>
      </c>
      <c r="K74" s="1">
        <v>19400</v>
      </c>
      <c r="L74" s="1">
        <v>126000</v>
      </c>
      <c r="M74" s="1" t="s">
        <v>19</v>
      </c>
      <c r="N74" s="1" t="s">
        <v>20</v>
      </c>
      <c r="P74" s="29" t="str">
        <f t="shared" si="11"/>
        <v>ORD1144</v>
      </c>
      <c r="Q74" s="29" t="str">
        <f t="shared" si="12"/>
        <v>Shreya Kapoor</v>
      </c>
      <c r="R74" s="29" t="str">
        <f t="shared" si="13"/>
        <v>Laptop</v>
      </c>
      <c r="S74" s="29" t="str">
        <f t="shared" si="14"/>
        <v>Electronics</v>
      </c>
      <c r="T74" s="29" t="str">
        <f t="shared" si="15"/>
        <v>South</v>
      </c>
      <c r="U74" s="29" t="str">
        <f t="shared" si="16"/>
        <v>Pooja Dey</v>
      </c>
      <c r="V74" s="29">
        <f t="shared" si="17"/>
        <v>2</v>
      </c>
      <c r="W74" s="29">
        <f t="shared" si="18"/>
        <v>56900</v>
      </c>
      <c r="X74" s="29">
        <f t="shared" si="19"/>
        <v>113800</v>
      </c>
      <c r="Y74" s="29">
        <v>94400</v>
      </c>
      <c r="Z74" s="29">
        <f t="shared" si="20"/>
        <v>19400</v>
      </c>
      <c r="AA74" s="29">
        <v>126000</v>
      </c>
      <c r="AB74" s="29" t="s">
        <v>19</v>
      </c>
      <c r="AC74" s="29" t="str">
        <f t="shared" si="21"/>
        <v>Delivered</v>
      </c>
    </row>
    <row r="75" spans="1:29" x14ac:dyDescent="0.3">
      <c r="A75" s="1" t="s">
        <v>175</v>
      </c>
      <c r="B75" s="1" t="s">
        <v>176</v>
      </c>
      <c r="C75" s="1" t="s">
        <v>33</v>
      </c>
      <c r="D75" s="1" t="s">
        <v>16</v>
      </c>
      <c r="E75" s="1" t="s">
        <v>30</v>
      </c>
      <c r="F75" s="1" t="s">
        <v>31</v>
      </c>
      <c r="G75" s="1">
        <v>2</v>
      </c>
      <c r="H75" s="1">
        <v>11300</v>
      </c>
      <c r="I75" s="1">
        <v>22600</v>
      </c>
      <c r="J75" s="1">
        <v>17100</v>
      </c>
      <c r="K75" s="1">
        <v>5500</v>
      </c>
      <c r="L75" s="1" t="s">
        <v>28</v>
      </c>
      <c r="M75" s="1" t="s">
        <v>20</v>
      </c>
      <c r="N75" s="1"/>
      <c r="P75" s="29" t="str">
        <f t="shared" si="11"/>
        <v>ORD1052</v>
      </c>
      <c r="Q75" s="29" t="str">
        <f t="shared" si="12"/>
        <v>Mitali Pal</v>
      </c>
      <c r="R75" s="29" t="str">
        <f t="shared" si="13"/>
        <v>Bookshelf</v>
      </c>
      <c r="S75" s="29" t="str">
        <f t="shared" si="14"/>
        <v>Furniture</v>
      </c>
      <c r="T75" s="29" t="str">
        <f t="shared" si="15"/>
        <v>South</v>
      </c>
      <c r="U75" s="29" t="str">
        <f t="shared" si="16"/>
        <v>Pooja Dey</v>
      </c>
      <c r="V75" s="29">
        <f t="shared" si="17"/>
        <v>2</v>
      </c>
      <c r="W75" s="29">
        <f t="shared" si="18"/>
        <v>11300</v>
      </c>
      <c r="X75" s="29">
        <f t="shared" si="19"/>
        <v>22600</v>
      </c>
      <c r="Y75" s="29">
        <v>17100</v>
      </c>
      <c r="Z75" s="29">
        <f t="shared" si="20"/>
        <v>5500</v>
      </c>
      <c r="AA75" s="29" t="s">
        <v>28</v>
      </c>
      <c r="AB75" s="29" t="s">
        <v>26</v>
      </c>
      <c r="AC75" s="29" t="str">
        <f t="shared" si="21"/>
        <v>Processing</v>
      </c>
    </row>
    <row r="76" spans="1:29" x14ac:dyDescent="0.3">
      <c r="A76" s="1" t="s">
        <v>177</v>
      </c>
      <c r="B76" s="1" t="s">
        <v>178</v>
      </c>
      <c r="C76" s="1"/>
      <c r="D76" s="1" t="s">
        <v>23</v>
      </c>
      <c r="E76" s="1" t="s">
        <v>17</v>
      </c>
      <c r="F76" s="1" t="s">
        <v>18</v>
      </c>
      <c r="G76" s="1">
        <v>24</v>
      </c>
      <c r="H76" s="1">
        <v>149</v>
      </c>
      <c r="I76" s="1">
        <v>3576</v>
      </c>
      <c r="J76" s="1">
        <v>1450</v>
      </c>
      <c r="K76" s="1">
        <v>2126</v>
      </c>
      <c r="L76" s="1">
        <v>4200</v>
      </c>
      <c r="M76" s="1" t="s">
        <v>26</v>
      </c>
      <c r="N76" s="1" t="s">
        <v>20</v>
      </c>
      <c r="P76" s="29" t="str">
        <f t="shared" si="11"/>
        <v>ORD1119</v>
      </c>
      <c r="Q76" s="29" t="str">
        <f t="shared" si="12"/>
        <v>Karan Sethi</v>
      </c>
      <c r="R76" s="29" t="str">
        <f t="shared" si="13"/>
        <v>UNKNOWN</v>
      </c>
      <c r="S76" s="29" t="str">
        <f t="shared" si="14"/>
        <v>Stationery</v>
      </c>
      <c r="T76" s="29" t="str">
        <f t="shared" si="15"/>
        <v>West</v>
      </c>
      <c r="U76" s="29" t="str">
        <f t="shared" si="16"/>
        <v>Amit Paul</v>
      </c>
      <c r="V76" s="29">
        <f t="shared" si="17"/>
        <v>24</v>
      </c>
      <c r="W76" s="29">
        <f t="shared" si="18"/>
        <v>149</v>
      </c>
      <c r="X76" s="29">
        <f t="shared" si="19"/>
        <v>3576</v>
      </c>
      <c r="Y76" s="29">
        <v>1450</v>
      </c>
      <c r="Z76" s="29">
        <f t="shared" si="20"/>
        <v>2126</v>
      </c>
      <c r="AA76" s="29">
        <v>4200</v>
      </c>
      <c r="AB76" s="29" t="s">
        <v>26</v>
      </c>
      <c r="AC76" s="29" t="str">
        <f t="shared" si="21"/>
        <v>Delivered</v>
      </c>
    </row>
    <row r="77" spans="1:29" x14ac:dyDescent="0.3">
      <c r="A77" s="1" t="s">
        <v>179</v>
      </c>
      <c r="B77" s="1" t="s">
        <v>180</v>
      </c>
      <c r="C77" s="1" t="s">
        <v>99</v>
      </c>
      <c r="D77" s="1"/>
      <c r="E77" s="1" t="s">
        <v>24</v>
      </c>
      <c r="F77" s="1" t="s">
        <v>25</v>
      </c>
      <c r="G77" s="1">
        <v>32</v>
      </c>
      <c r="H77" s="1">
        <v>100</v>
      </c>
      <c r="I77" s="1">
        <v>3200</v>
      </c>
      <c r="J77" s="1">
        <v>1500</v>
      </c>
      <c r="K77" s="1">
        <v>1700</v>
      </c>
      <c r="L77" s="1">
        <v>4000</v>
      </c>
      <c r="M77" s="1" t="s">
        <v>26</v>
      </c>
      <c r="N77" s="1" t="s">
        <v>20</v>
      </c>
      <c r="P77" s="29" t="str">
        <f t="shared" si="11"/>
        <v>ORD1077</v>
      </c>
      <c r="Q77" s="29" t="str">
        <f t="shared" si="12"/>
        <v>Anirban Roy</v>
      </c>
      <c r="R77" s="29" t="str">
        <f t="shared" si="13"/>
        <v>Notebook</v>
      </c>
      <c r="S77" s="29" t="str">
        <f t="shared" si="14"/>
        <v>UNKNOWN</v>
      </c>
      <c r="T77" s="29" t="str">
        <f t="shared" si="15"/>
        <v>East</v>
      </c>
      <c r="U77" s="29" t="str">
        <f t="shared" si="16"/>
        <v>Rahul Das</v>
      </c>
      <c r="V77" s="29">
        <f t="shared" si="17"/>
        <v>32</v>
      </c>
      <c r="W77" s="29">
        <f t="shared" si="18"/>
        <v>100</v>
      </c>
      <c r="X77" s="29">
        <f t="shared" si="19"/>
        <v>3200</v>
      </c>
      <c r="Y77" s="29">
        <v>1500</v>
      </c>
      <c r="Z77" s="29">
        <f t="shared" si="20"/>
        <v>1700</v>
      </c>
      <c r="AA77" s="29">
        <v>4000</v>
      </c>
      <c r="AB77" s="29" t="s">
        <v>26</v>
      </c>
      <c r="AC77" s="29" t="str">
        <f t="shared" si="21"/>
        <v>Delivered</v>
      </c>
    </row>
    <row r="78" spans="1:29" x14ac:dyDescent="0.3">
      <c r="A78" s="1" t="s">
        <v>181</v>
      </c>
      <c r="B78" s="1" t="s">
        <v>182</v>
      </c>
      <c r="C78" s="1" t="s">
        <v>88</v>
      </c>
      <c r="D78" s="1" t="s">
        <v>37</v>
      </c>
      <c r="E78" s="1" t="s">
        <v>41</v>
      </c>
      <c r="F78" s="1" t="s">
        <v>42</v>
      </c>
      <c r="G78" s="1">
        <v>2</v>
      </c>
      <c r="H78" s="1">
        <v>12100</v>
      </c>
      <c r="I78" s="1">
        <v>24200</v>
      </c>
      <c r="J78" s="1">
        <v>18600</v>
      </c>
      <c r="K78" s="1">
        <v>5600</v>
      </c>
      <c r="L78" s="1">
        <v>27000</v>
      </c>
      <c r="M78" s="1" t="s">
        <v>19</v>
      </c>
      <c r="N78" s="1" t="s">
        <v>20</v>
      </c>
      <c r="P78" s="29" t="str">
        <f t="shared" si="11"/>
        <v>ORD1042</v>
      </c>
      <c r="Q78" s="29" t="str">
        <f t="shared" si="12"/>
        <v>Tania Roy</v>
      </c>
      <c r="R78" s="29" t="str">
        <f t="shared" si="13"/>
        <v>Monitor</v>
      </c>
      <c r="S78" s="29" t="str">
        <f t="shared" si="14"/>
        <v>Electronics</v>
      </c>
      <c r="T78" s="29" t="str">
        <f t="shared" si="15"/>
        <v>North</v>
      </c>
      <c r="U78" s="29" t="str">
        <f t="shared" si="16"/>
        <v>Sneha Roy</v>
      </c>
      <c r="V78" s="29">
        <f t="shared" si="17"/>
        <v>2</v>
      </c>
      <c r="W78" s="29">
        <f t="shared" si="18"/>
        <v>12100</v>
      </c>
      <c r="X78" s="29">
        <f t="shared" si="19"/>
        <v>24200</v>
      </c>
      <c r="Y78" s="29">
        <v>18600</v>
      </c>
      <c r="Z78" s="29">
        <f t="shared" si="20"/>
        <v>5600</v>
      </c>
      <c r="AA78" s="29">
        <v>27000</v>
      </c>
      <c r="AB78" s="29" t="s">
        <v>19</v>
      </c>
      <c r="AC78" s="29" t="str">
        <f t="shared" si="21"/>
        <v>Delivered</v>
      </c>
    </row>
    <row r="79" spans="1:29" x14ac:dyDescent="0.3">
      <c r="A79" s="1" t="s">
        <v>183</v>
      </c>
      <c r="B79" s="1" t="s">
        <v>184</v>
      </c>
      <c r="C79" s="1" t="s">
        <v>88</v>
      </c>
      <c r="D79" s="1" t="s">
        <v>37</v>
      </c>
      <c r="E79" s="1" t="s">
        <v>17</v>
      </c>
      <c r="F79" s="1" t="s">
        <v>18</v>
      </c>
      <c r="G79" s="1">
        <v>2</v>
      </c>
      <c r="H79" s="1">
        <v>12290</v>
      </c>
      <c r="I79" s="1">
        <v>24580</v>
      </c>
      <c r="J79" s="1">
        <v>18880</v>
      </c>
      <c r="K79" s="1">
        <v>5700</v>
      </c>
      <c r="L79" s="1">
        <v>27000</v>
      </c>
      <c r="M79" s="1" t="s">
        <v>19</v>
      </c>
      <c r="N79" s="1" t="s">
        <v>20</v>
      </c>
      <c r="P79" s="29" t="str">
        <f t="shared" si="11"/>
        <v>ORD1159</v>
      </c>
      <c r="Q79" s="29" t="str">
        <f t="shared" si="12"/>
        <v>Kabir Jain</v>
      </c>
      <c r="R79" s="29" t="str">
        <f t="shared" si="13"/>
        <v>Monitor</v>
      </c>
      <c r="S79" s="29" t="str">
        <f t="shared" si="14"/>
        <v>Electronics</v>
      </c>
      <c r="T79" s="29" t="str">
        <f t="shared" si="15"/>
        <v>West</v>
      </c>
      <c r="U79" s="29" t="str">
        <f t="shared" si="16"/>
        <v>Amit Paul</v>
      </c>
      <c r="V79" s="29">
        <f t="shared" si="17"/>
        <v>2</v>
      </c>
      <c r="W79" s="29">
        <f t="shared" si="18"/>
        <v>12290</v>
      </c>
      <c r="X79" s="29">
        <f t="shared" si="19"/>
        <v>24580</v>
      </c>
      <c r="Y79" s="29">
        <v>18880</v>
      </c>
      <c r="Z79" s="29">
        <f t="shared" si="20"/>
        <v>5700</v>
      </c>
      <c r="AA79" s="29">
        <v>27000</v>
      </c>
      <c r="AB79" s="29" t="s">
        <v>19</v>
      </c>
      <c r="AC79" s="29" t="str">
        <f t="shared" si="21"/>
        <v>Delivered</v>
      </c>
    </row>
    <row r="80" spans="1:29" x14ac:dyDescent="0.3">
      <c r="A80" s="1" t="s">
        <v>185</v>
      </c>
      <c r="B80" s="1" t="s">
        <v>186</v>
      </c>
      <c r="C80" s="1" t="s">
        <v>33</v>
      </c>
      <c r="D80" s="1" t="s">
        <v>16</v>
      </c>
      <c r="E80" s="1" t="s">
        <v>17</v>
      </c>
      <c r="F80" s="1" t="s">
        <v>18</v>
      </c>
      <c r="G80" s="1">
        <v>2</v>
      </c>
      <c r="H80" s="1">
        <v>11250</v>
      </c>
      <c r="I80" s="1">
        <v>22500</v>
      </c>
      <c r="J80" s="1">
        <v>17100</v>
      </c>
      <c r="K80" s="1">
        <v>5400</v>
      </c>
      <c r="L80" s="1">
        <v>25000</v>
      </c>
      <c r="M80" s="1" t="s">
        <v>28</v>
      </c>
      <c r="N80" s="1" t="s">
        <v>20</v>
      </c>
      <c r="P80" s="29" t="str">
        <f t="shared" si="11"/>
        <v xml:space="preserve">  ORD1079  </v>
      </c>
      <c r="Q80" s="29" t="str">
        <f t="shared" si="12"/>
        <v>Vikas Jain</v>
      </c>
      <c r="R80" s="29" t="str">
        <f t="shared" si="13"/>
        <v>Bookshelf</v>
      </c>
      <c r="S80" s="29" t="str">
        <f t="shared" si="14"/>
        <v>Furniture</v>
      </c>
      <c r="T80" s="29" t="str">
        <f t="shared" si="15"/>
        <v>West</v>
      </c>
      <c r="U80" s="29" t="str">
        <f t="shared" si="16"/>
        <v>Amit Paul</v>
      </c>
      <c r="V80" s="29">
        <f t="shared" si="17"/>
        <v>2</v>
      </c>
      <c r="W80" s="29">
        <f t="shared" si="18"/>
        <v>11250</v>
      </c>
      <c r="X80" s="29">
        <f t="shared" si="19"/>
        <v>22500</v>
      </c>
      <c r="Y80" s="29">
        <v>17100</v>
      </c>
      <c r="Z80" s="29">
        <f t="shared" si="20"/>
        <v>5400</v>
      </c>
      <c r="AA80" s="29">
        <v>25000</v>
      </c>
      <c r="AB80" s="29" t="s">
        <v>28</v>
      </c>
      <c r="AC80" s="29" t="str">
        <f t="shared" si="21"/>
        <v>Delivered</v>
      </c>
    </row>
    <row r="81" spans="1:29" x14ac:dyDescent="0.3">
      <c r="A81" s="1" t="s">
        <v>187</v>
      </c>
      <c r="B81" s="1" t="s">
        <v>188</v>
      </c>
      <c r="C81" s="1" t="s">
        <v>47</v>
      </c>
      <c r="D81" s="1" t="s">
        <v>23</v>
      </c>
      <c r="E81" s="1" t="s">
        <v>24</v>
      </c>
      <c r="F81" s="1" t="s">
        <v>25</v>
      </c>
      <c r="G81" s="1">
        <v>20</v>
      </c>
      <c r="H81" s="1">
        <v>258</v>
      </c>
      <c r="I81" s="1">
        <v>5160</v>
      </c>
      <c r="J81" s="1">
        <v>2100</v>
      </c>
      <c r="K81" s="1">
        <v>3060</v>
      </c>
      <c r="L81" s="1">
        <v>5600</v>
      </c>
      <c r="M81" s="1" t="s">
        <v>26</v>
      </c>
      <c r="N81" s="1" t="s">
        <v>20</v>
      </c>
      <c r="P81" s="29" t="str">
        <f t="shared" si="11"/>
        <v>ORD1125</v>
      </c>
      <c r="Q81" s="29" t="str">
        <f t="shared" si="12"/>
        <v>Rohan Pal</v>
      </c>
      <c r="R81" s="29" t="str">
        <f t="shared" si="13"/>
        <v>Marker Set</v>
      </c>
      <c r="S81" s="29" t="str">
        <f t="shared" si="14"/>
        <v>Stationery</v>
      </c>
      <c r="T81" s="29" t="str">
        <f t="shared" si="15"/>
        <v>East</v>
      </c>
      <c r="U81" s="29" t="str">
        <f t="shared" si="16"/>
        <v>Rahul Das</v>
      </c>
      <c r="V81" s="29">
        <f t="shared" si="17"/>
        <v>20</v>
      </c>
      <c r="W81" s="29">
        <f t="shared" si="18"/>
        <v>258</v>
      </c>
      <c r="X81" s="29">
        <f t="shared" si="19"/>
        <v>5160</v>
      </c>
      <c r="Y81" s="29">
        <v>2100</v>
      </c>
      <c r="Z81" s="29">
        <f t="shared" si="20"/>
        <v>3060</v>
      </c>
      <c r="AA81" s="29">
        <v>5600</v>
      </c>
      <c r="AB81" s="29" t="s">
        <v>26</v>
      </c>
      <c r="AC81" s="29" t="str">
        <f t="shared" si="21"/>
        <v>Delivered</v>
      </c>
    </row>
    <row r="82" spans="1:29" x14ac:dyDescent="0.3">
      <c r="A82" s="1" t="s">
        <v>189</v>
      </c>
      <c r="B82" s="1" t="s">
        <v>190</v>
      </c>
      <c r="C82" s="1" t="s">
        <v>56</v>
      </c>
      <c r="D82" s="1"/>
      <c r="E82" s="1" t="s">
        <v>17</v>
      </c>
      <c r="F82" s="1" t="s">
        <v>18</v>
      </c>
      <c r="G82" s="1">
        <v>1</v>
      </c>
      <c r="H82" s="1">
        <v>59000</v>
      </c>
      <c r="I82" s="1">
        <v>59000</v>
      </c>
      <c r="J82" s="1">
        <v>47500</v>
      </c>
      <c r="K82" s="1">
        <v>11500</v>
      </c>
      <c r="L82" s="1">
        <v>65000</v>
      </c>
      <c r="M82" s="1" t="s">
        <v>26</v>
      </c>
      <c r="N82" s="1" t="s">
        <v>20</v>
      </c>
      <c r="P82" s="29" t="str">
        <f t="shared" si="11"/>
        <v>ORD1027</v>
      </c>
      <c r="Q82" s="29" t="str">
        <f t="shared" si="12"/>
        <v>Aditya Nanda</v>
      </c>
      <c r="R82" s="29" t="str">
        <f t="shared" si="13"/>
        <v>Laptop</v>
      </c>
      <c r="S82" s="29" t="str">
        <f t="shared" si="14"/>
        <v>UNKNOWN</v>
      </c>
      <c r="T82" s="29" t="str">
        <f t="shared" si="15"/>
        <v>West</v>
      </c>
      <c r="U82" s="29" t="str">
        <f t="shared" si="16"/>
        <v>Amit Paul</v>
      </c>
      <c r="V82" s="29">
        <f t="shared" si="17"/>
        <v>1</v>
      </c>
      <c r="W82" s="29">
        <f t="shared" si="18"/>
        <v>59000</v>
      </c>
      <c r="X82" s="29">
        <f t="shared" si="19"/>
        <v>59000</v>
      </c>
      <c r="Y82" s="29">
        <v>47500</v>
      </c>
      <c r="Z82" s="29">
        <f t="shared" si="20"/>
        <v>11500</v>
      </c>
      <c r="AA82" s="29">
        <v>65000</v>
      </c>
      <c r="AB82" s="29" t="s">
        <v>26</v>
      </c>
      <c r="AC82" s="29" t="str">
        <f t="shared" si="21"/>
        <v>Delivered</v>
      </c>
    </row>
    <row r="83" spans="1:29" x14ac:dyDescent="0.3">
      <c r="A83" s="1" t="s">
        <v>191</v>
      </c>
      <c r="B83" s="1" t="s">
        <v>192</v>
      </c>
      <c r="C83" s="1" t="s">
        <v>88</v>
      </c>
      <c r="D83" s="1" t="s">
        <v>37</v>
      </c>
      <c r="E83" s="1" t="s">
        <v>24</v>
      </c>
      <c r="F83" s="1" t="s">
        <v>25</v>
      </c>
      <c r="G83" s="1">
        <v>1</v>
      </c>
      <c r="H83" s="1">
        <v>12420</v>
      </c>
      <c r="I83" s="1">
        <v>12420</v>
      </c>
      <c r="J83" s="1">
        <v>9500</v>
      </c>
      <c r="K83" s="1">
        <v>2920</v>
      </c>
      <c r="L83" s="1">
        <v>14500</v>
      </c>
      <c r="M83" s="1" t="s">
        <v>19</v>
      </c>
      <c r="N83" s="1" t="s">
        <v>20</v>
      </c>
      <c r="P83" s="29" t="str">
        <f t="shared" si="11"/>
        <v>ORD1141</v>
      </c>
      <c r="Q83" s="29" t="str">
        <f t="shared" si="12"/>
        <v>Arijit Roy</v>
      </c>
      <c r="R83" s="29" t="str">
        <f t="shared" si="13"/>
        <v>Monitor</v>
      </c>
      <c r="S83" s="29" t="str">
        <f t="shared" si="14"/>
        <v>Electronics</v>
      </c>
      <c r="T83" s="29" t="str">
        <f t="shared" si="15"/>
        <v>East</v>
      </c>
      <c r="U83" s="29" t="str">
        <f t="shared" si="16"/>
        <v>Rahul Das</v>
      </c>
      <c r="V83" s="29">
        <f t="shared" si="17"/>
        <v>1</v>
      </c>
      <c r="W83" s="29">
        <f t="shared" si="18"/>
        <v>12420</v>
      </c>
      <c r="X83" s="29">
        <f t="shared" si="19"/>
        <v>12420</v>
      </c>
      <c r="Y83" s="29">
        <v>9500</v>
      </c>
      <c r="Z83" s="29">
        <f t="shared" si="20"/>
        <v>2920</v>
      </c>
      <c r="AA83" s="29">
        <v>14500</v>
      </c>
      <c r="AB83" s="29" t="s">
        <v>19</v>
      </c>
      <c r="AC83" s="29" t="str">
        <f t="shared" si="21"/>
        <v>Delivered</v>
      </c>
    </row>
    <row r="84" spans="1:29" x14ac:dyDescent="0.3">
      <c r="A84" s="1" t="s">
        <v>193</v>
      </c>
      <c r="B84" s="1" t="s">
        <v>194</v>
      </c>
      <c r="C84" s="1" t="s">
        <v>47</v>
      </c>
      <c r="D84" s="1" t="s">
        <v>23</v>
      </c>
      <c r="E84" s="1" t="s">
        <v>17</v>
      </c>
      <c r="F84" s="1" t="s">
        <v>18</v>
      </c>
      <c r="G84" s="1">
        <v>20</v>
      </c>
      <c r="H84" s="1">
        <v>257</v>
      </c>
      <c r="I84" s="1">
        <v>5140</v>
      </c>
      <c r="J84" s="1">
        <v>2120</v>
      </c>
      <c r="K84" s="1">
        <v>3020</v>
      </c>
      <c r="L84" s="1">
        <v>5600</v>
      </c>
      <c r="M84" s="1" t="s">
        <v>26</v>
      </c>
      <c r="N84" s="1" t="s">
        <v>20</v>
      </c>
      <c r="P84" s="29" t="str">
        <f t="shared" si="11"/>
        <v>ORD1179</v>
      </c>
      <c r="Q84" s="29" t="str">
        <f t="shared" si="12"/>
        <v>Harsh Gupta</v>
      </c>
      <c r="R84" s="29" t="str">
        <f t="shared" si="13"/>
        <v>Marker Set</v>
      </c>
      <c r="S84" s="29" t="str">
        <f t="shared" si="14"/>
        <v>Stationery</v>
      </c>
      <c r="T84" s="29" t="str">
        <f t="shared" si="15"/>
        <v>West</v>
      </c>
      <c r="U84" s="29" t="str">
        <f t="shared" si="16"/>
        <v>Amit Paul</v>
      </c>
      <c r="V84" s="29">
        <f t="shared" si="17"/>
        <v>20</v>
      </c>
      <c r="W84" s="29">
        <f t="shared" si="18"/>
        <v>257</v>
      </c>
      <c r="X84" s="29">
        <f t="shared" si="19"/>
        <v>5140</v>
      </c>
      <c r="Y84" s="29">
        <v>2120</v>
      </c>
      <c r="Z84" s="29">
        <f t="shared" si="20"/>
        <v>3020</v>
      </c>
      <c r="AA84" s="29">
        <v>5600</v>
      </c>
      <c r="AB84" s="29" t="s">
        <v>26</v>
      </c>
      <c r="AC84" s="29" t="str">
        <f t="shared" si="21"/>
        <v>Delivered</v>
      </c>
    </row>
    <row r="85" spans="1:29" x14ac:dyDescent="0.3">
      <c r="A85" s="1" t="s">
        <v>195</v>
      </c>
      <c r="B85" s="1" t="s">
        <v>196</v>
      </c>
      <c r="C85" s="1" t="s">
        <v>88</v>
      </c>
      <c r="D85" s="1" t="s">
        <v>37</v>
      </c>
      <c r="E85" s="1" t="s">
        <v>17</v>
      </c>
      <c r="F85" s="1" t="s">
        <v>18</v>
      </c>
      <c r="G85" s="1">
        <v>3</v>
      </c>
      <c r="H85" s="1">
        <v>12380</v>
      </c>
      <c r="I85" s="1">
        <v>37140</v>
      </c>
      <c r="J85" s="1">
        <v>28650</v>
      </c>
      <c r="K85" s="1">
        <v>8490</v>
      </c>
      <c r="L85" s="1">
        <v>41000</v>
      </c>
      <c r="M85" s="1" t="s">
        <v>19</v>
      </c>
      <c r="N85" s="1" t="s">
        <v>20</v>
      </c>
      <c r="P85" s="29" t="str">
        <f t="shared" si="11"/>
        <v>ORD1123</v>
      </c>
      <c r="Q85" s="29" t="str">
        <f t="shared" si="12"/>
        <v>Vikram Dutta</v>
      </c>
      <c r="R85" s="29" t="str">
        <f t="shared" si="13"/>
        <v>Monitor</v>
      </c>
      <c r="S85" s="29" t="str">
        <f t="shared" si="14"/>
        <v>Electronics</v>
      </c>
      <c r="T85" s="29" t="str">
        <f t="shared" si="15"/>
        <v>West</v>
      </c>
      <c r="U85" s="29" t="str">
        <f t="shared" si="16"/>
        <v>Amit Paul</v>
      </c>
      <c r="V85" s="29">
        <f t="shared" si="17"/>
        <v>3</v>
      </c>
      <c r="W85" s="29">
        <f t="shared" si="18"/>
        <v>12380</v>
      </c>
      <c r="X85" s="29">
        <f t="shared" si="19"/>
        <v>37140</v>
      </c>
      <c r="Y85" s="29">
        <v>28650</v>
      </c>
      <c r="Z85" s="29">
        <f t="shared" si="20"/>
        <v>8490</v>
      </c>
      <c r="AA85" s="29">
        <v>41000</v>
      </c>
      <c r="AB85" s="29" t="s">
        <v>19</v>
      </c>
      <c r="AC85" s="29" t="str">
        <f t="shared" si="21"/>
        <v>Delivered</v>
      </c>
    </row>
    <row r="86" spans="1:29" x14ac:dyDescent="0.3">
      <c r="A86" s="1" t="s">
        <v>197</v>
      </c>
      <c r="B86" s="1" t="s">
        <v>198</v>
      </c>
      <c r="C86" s="1" t="s">
        <v>40</v>
      </c>
      <c r="D86" s="1" t="s">
        <v>16</v>
      </c>
      <c r="E86" s="1" t="s">
        <v>17</v>
      </c>
      <c r="F86" s="1" t="s">
        <v>18</v>
      </c>
      <c r="G86" s="1">
        <v>3</v>
      </c>
      <c r="H86" s="1">
        <v>6500</v>
      </c>
      <c r="I86" s="1">
        <v>19500</v>
      </c>
      <c r="J86" s="1">
        <v>14000</v>
      </c>
      <c r="K86" s="1">
        <v>5500</v>
      </c>
      <c r="L86" s="1">
        <v>22000</v>
      </c>
      <c r="M86" s="1" t="s">
        <v>28</v>
      </c>
      <c r="N86" s="1" t="s">
        <v>20</v>
      </c>
      <c r="P86" s="29" t="str">
        <f t="shared" si="11"/>
        <v>ORD1003</v>
      </c>
      <c r="Q86" s="29" t="str">
        <f t="shared" si="12"/>
        <v>Rohan Gupta</v>
      </c>
      <c r="R86" s="29" t="str">
        <f t="shared" si="13"/>
        <v>Office Chair</v>
      </c>
      <c r="S86" s="29" t="str">
        <f t="shared" si="14"/>
        <v>Furniture</v>
      </c>
      <c r="T86" s="29" t="str">
        <f t="shared" si="15"/>
        <v>West</v>
      </c>
      <c r="U86" s="29" t="str">
        <f t="shared" si="16"/>
        <v>Amit Paul</v>
      </c>
      <c r="V86" s="29">
        <f t="shared" si="17"/>
        <v>3</v>
      </c>
      <c r="W86" s="29">
        <f t="shared" si="18"/>
        <v>6500</v>
      </c>
      <c r="X86" s="29">
        <f t="shared" si="19"/>
        <v>19500</v>
      </c>
      <c r="Y86" s="29">
        <v>14000</v>
      </c>
      <c r="Z86" s="29">
        <f t="shared" si="20"/>
        <v>5500</v>
      </c>
      <c r="AA86" s="29">
        <v>22000</v>
      </c>
      <c r="AB86" s="29" t="s">
        <v>28</v>
      </c>
      <c r="AC86" s="29" t="str">
        <f t="shared" si="21"/>
        <v>Delivered</v>
      </c>
    </row>
    <row r="87" spans="1:29" x14ac:dyDescent="0.3">
      <c r="A87" s="1" t="s">
        <v>199</v>
      </c>
      <c r="B87" s="1" t="s">
        <v>200</v>
      </c>
      <c r="C87" s="1" t="s">
        <v>88</v>
      </c>
      <c r="D87" s="1" t="s">
        <v>37</v>
      </c>
      <c r="E87" s="1" t="s">
        <v>41</v>
      </c>
      <c r="F87" s="1" t="s">
        <v>42</v>
      </c>
      <c r="G87" s="1">
        <v>3</v>
      </c>
      <c r="H87" s="1">
        <v>12350</v>
      </c>
      <c r="I87" s="1">
        <v>37050</v>
      </c>
      <c r="J87" s="1">
        <v>28600</v>
      </c>
      <c r="K87" s="1">
        <v>8450</v>
      </c>
      <c r="L87" s="1">
        <v>41000</v>
      </c>
      <c r="M87" s="1" t="s">
        <v>19</v>
      </c>
      <c r="N87" s="1" t="s">
        <v>20</v>
      </c>
      <c r="P87" s="29" t="str">
        <f t="shared" si="11"/>
        <v>ORD1078</v>
      </c>
      <c r="Q87" s="29" t="str">
        <f t="shared" si="12"/>
        <v>Niharika Das</v>
      </c>
      <c r="R87" s="29" t="str">
        <f t="shared" si="13"/>
        <v>Monitor</v>
      </c>
      <c r="S87" s="29" t="str">
        <f t="shared" si="14"/>
        <v>Electronics</v>
      </c>
      <c r="T87" s="29" t="str">
        <f t="shared" si="15"/>
        <v>North</v>
      </c>
      <c r="U87" s="29" t="str">
        <f t="shared" si="16"/>
        <v>Sneha Roy</v>
      </c>
      <c r="V87" s="29">
        <f t="shared" si="17"/>
        <v>3</v>
      </c>
      <c r="W87" s="29">
        <f t="shared" si="18"/>
        <v>12350</v>
      </c>
      <c r="X87" s="29">
        <f t="shared" si="19"/>
        <v>37050</v>
      </c>
      <c r="Y87" s="29">
        <v>28600</v>
      </c>
      <c r="Z87" s="29">
        <f t="shared" si="20"/>
        <v>8450</v>
      </c>
      <c r="AA87" s="29">
        <v>41000</v>
      </c>
      <c r="AB87" s="29" t="s">
        <v>19</v>
      </c>
      <c r="AC87" s="29" t="str">
        <f t="shared" si="21"/>
        <v>Delivered</v>
      </c>
    </row>
    <row r="88" spans="1:29" x14ac:dyDescent="0.3">
      <c r="A88" s="1" t="s">
        <v>201</v>
      </c>
      <c r="B88" s="1" t="s">
        <v>202</v>
      </c>
      <c r="C88" s="1" t="s">
        <v>22</v>
      </c>
      <c r="D88" s="1" t="s">
        <v>23</v>
      </c>
      <c r="E88" s="1" t="s">
        <v>17</v>
      </c>
      <c r="F88" s="1" t="s">
        <v>18</v>
      </c>
      <c r="G88" s="1">
        <v>26</v>
      </c>
      <c r="H88" s="1">
        <v>150</v>
      </c>
      <c r="I88" s="1">
        <v>3900</v>
      </c>
      <c r="J88" s="1">
        <v>1600</v>
      </c>
      <c r="K88" s="1">
        <v>2300</v>
      </c>
      <c r="L88" s="1">
        <v>4500</v>
      </c>
      <c r="M88" s="1" t="s">
        <v>26</v>
      </c>
      <c r="N88" s="1" t="s">
        <v>20</v>
      </c>
      <c r="P88" s="29" t="str">
        <f t="shared" si="11"/>
        <v>ORD1047</v>
      </c>
      <c r="Q88" s="29" t="str">
        <f t="shared" si="12"/>
        <v>Kushal Das</v>
      </c>
      <c r="R88" s="29" t="str">
        <f t="shared" si="13"/>
        <v>Pen Pack</v>
      </c>
      <c r="S88" s="29" t="str">
        <f t="shared" si="14"/>
        <v>Stationery</v>
      </c>
      <c r="T88" s="29" t="str">
        <f t="shared" si="15"/>
        <v>West</v>
      </c>
      <c r="U88" s="29" t="str">
        <f t="shared" si="16"/>
        <v>Amit Paul</v>
      </c>
      <c r="V88" s="29">
        <f t="shared" si="17"/>
        <v>26</v>
      </c>
      <c r="W88" s="29">
        <f t="shared" si="18"/>
        <v>150</v>
      </c>
      <c r="X88" s="29">
        <f t="shared" si="19"/>
        <v>3900</v>
      </c>
      <c r="Y88" s="29">
        <v>1600</v>
      </c>
      <c r="Z88" s="29">
        <f t="shared" si="20"/>
        <v>2300</v>
      </c>
      <c r="AA88" s="29">
        <v>4500</v>
      </c>
      <c r="AB88" s="29" t="s">
        <v>26</v>
      </c>
      <c r="AC88" s="29" t="str">
        <f t="shared" si="21"/>
        <v>Delivered</v>
      </c>
    </row>
    <row r="89" spans="1:29" x14ac:dyDescent="0.3">
      <c r="A89" s="1" t="s">
        <v>203</v>
      </c>
      <c r="B89" s="1" t="s">
        <v>204</v>
      </c>
      <c r="C89" s="1" t="s">
        <v>22</v>
      </c>
      <c r="D89" s="1" t="s">
        <v>23</v>
      </c>
      <c r="E89" s="1" t="s">
        <v>30</v>
      </c>
      <c r="F89" s="1" t="s">
        <v>31</v>
      </c>
      <c r="G89" s="1">
        <v>27</v>
      </c>
      <c r="H89" s="1">
        <v>152</v>
      </c>
      <c r="I89" s="1">
        <v>4104</v>
      </c>
      <c r="J89" s="1">
        <v>1680</v>
      </c>
      <c r="K89" s="1">
        <v>2424</v>
      </c>
      <c r="L89" s="1">
        <v>4700</v>
      </c>
      <c r="M89" s="1" t="s">
        <v>26</v>
      </c>
      <c r="N89" s="1" t="s">
        <v>20</v>
      </c>
      <c r="P89" s="29" t="str">
        <f t="shared" si="11"/>
        <v>ORD1128</v>
      </c>
      <c r="Q89" s="29" t="str">
        <f t="shared" si="12"/>
        <v>Priyanka Roy</v>
      </c>
      <c r="R89" s="29" t="str">
        <f t="shared" si="13"/>
        <v>Pen Pack</v>
      </c>
      <c r="S89" s="29" t="str">
        <f t="shared" si="14"/>
        <v>Stationery</v>
      </c>
      <c r="T89" s="29" t="str">
        <f t="shared" si="15"/>
        <v>South</v>
      </c>
      <c r="U89" s="29" t="str">
        <f t="shared" si="16"/>
        <v>Pooja Dey</v>
      </c>
      <c r="V89" s="29">
        <f t="shared" si="17"/>
        <v>27</v>
      </c>
      <c r="W89" s="29">
        <f t="shared" si="18"/>
        <v>152</v>
      </c>
      <c r="X89" s="29">
        <f t="shared" si="19"/>
        <v>4104</v>
      </c>
      <c r="Y89" s="29">
        <v>1680</v>
      </c>
      <c r="Z89" s="29">
        <f t="shared" si="20"/>
        <v>2424</v>
      </c>
      <c r="AA89" s="29">
        <v>4700</v>
      </c>
      <c r="AB89" s="29" t="s">
        <v>26</v>
      </c>
      <c r="AC89" s="29" t="str">
        <f t="shared" si="21"/>
        <v>Delivered</v>
      </c>
    </row>
    <row r="90" spans="1:29" x14ac:dyDescent="0.3">
      <c r="A90" s="1" t="s">
        <v>205</v>
      </c>
      <c r="B90" s="1" t="s">
        <v>206</v>
      </c>
      <c r="C90" s="1" t="s">
        <v>99</v>
      </c>
      <c r="D90" s="1" t="s">
        <v>23</v>
      </c>
      <c r="E90" s="1" t="s">
        <v>24</v>
      </c>
      <c r="F90" s="1" t="s">
        <v>25</v>
      </c>
      <c r="G90" s="1">
        <v>29</v>
      </c>
      <c r="H90" s="1">
        <v>101</v>
      </c>
      <c r="I90" s="1">
        <v>2929</v>
      </c>
      <c r="J90" s="1">
        <v>1400</v>
      </c>
      <c r="K90" s="1">
        <v>1529</v>
      </c>
      <c r="L90" s="1">
        <v>3700</v>
      </c>
      <c r="M90" s="1" t="s">
        <v>26</v>
      </c>
      <c r="N90" s="1" t="s">
        <v>20</v>
      </c>
      <c r="P90" s="29" t="str">
        <f t="shared" si="11"/>
        <v>ORD1113</v>
      </c>
      <c r="Q90" s="29" t="str">
        <f t="shared" si="12"/>
        <v>Ayush Roy</v>
      </c>
      <c r="R90" s="29" t="str">
        <f t="shared" si="13"/>
        <v>Notebook</v>
      </c>
      <c r="S90" s="29" t="str">
        <f t="shared" si="14"/>
        <v>Stationery</v>
      </c>
      <c r="T90" s="29" t="str">
        <f t="shared" si="15"/>
        <v>East</v>
      </c>
      <c r="U90" s="29" t="str">
        <f t="shared" si="16"/>
        <v>Rahul Das</v>
      </c>
      <c r="V90" s="29">
        <f t="shared" si="17"/>
        <v>29</v>
      </c>
      <c r="W90" s="29">
        <f t="shared" si="18"/>
        <v>101</v>
      </c>
      <c r="X90" s="29">
        <f t="shared" si="19"/>
        <v>2929</v>
      </c>
      <c r="Y90" s="29">
        <v>1400</v>
      </c>
      <c r="Z90" s="29">
        <f t="shared" si="20"/>
        <v>1529</v>
      </c>
      <c r="AA90" s="29">
        <v>3700</v>
      </c>
      <c r="AB90" s="29" t="s">
        <v>26</v>
      </c>
      <c r="AC90" s="29" t="str">
        <f t="shared" si="21"/>
        <v>Delivered</v>
      </c>
    </row>
    <row r="91" spans="1:29" x14ac:dyDescent="0.3">
      <c r="A91" s="1" t="s">
        <v>207</v>
      </c>
      <c r="B91" s="1" t="s">
        <v>208</v>
      </c>
      <c r="C91" s="1" t="s">
        <v>40</v>
      </c>
      <c r="D91" s="1" t="s">
        <v>16</v>
      </c>
      <c r="E91" s="1" t="s">
        <v>17</v>
      </c>
      <c r="F91" s="1" t="s">
        <v>18</v>
      </c>
      <c r="G91" s="1">
        <v>3</v>
      </c>
      <c r="H91" s="1">
        <v>6800</v>
      </c>
      <c r="I91" s="1">
        <v>20400</v>
      </c>
      <c r="J91" s="1">
        <v>15100</v>
      </c>
      <c r="K91" s="1">
        <v>5300</v>
      </c>
      <c r="L91" s="1">
        <v>23000</v>
      </c>
      <c r="M91" s="1" t="s">
        <v>28</v>
      </c>
      <c r="N91" s="1" t="s">
        <v>20</v>
      </c>
      <c r="P91" s="29" t="str">
        <f t="shared" si="11"/>
        <v>ORD1091</v>
      </c>
      <c r="Q91" s="29" t="str">
        <f t="shared" si="12"/>
        <v>Aman Jain</v>
      </c>
      <c r="R91" s="29" t="str">
        <f t="shared" si="13"/>
        <v>Office Chair</v>
      </c>
      <c r="S91" s="29" t="str">
        <f t="shared" si="14"/>
        <v>Furniture</v>
      </c>
      <c r="T91" s="29" t="str">
        <f t="shared" si="15"/>
        <v>West</v>
      </c>
      <c r="U91" s="29" t="str">
        <f t="shared" si="16"/>
        <v>Amit Paul</v>
      </c>
      <c r="V91" s="29">
        <f t="shared" si="17"/>
        <v>3</v>
      </c>
      <c r="W91" s="29">
        <f t="shared" si="18"/>
        <v>6800</v>
      </c>
      <c r="X91" s="29">
        <f t="shared" si="19"/>
        <v>20400</v>
      </c>
      <c r="Y91" s="29">
        <v>15100</v>
      </c>
      <c r="Z91" s="29">
        <f t="shared" si="20"/>
        <v>5300</v>
      </c>
      <c r="AA91" s="29">
        <v>23000</v>
      </c>
      <c r="AB91" s="29" t="s">
        <v>28</v>
      </c>
      <c r="AC91" s="29" t="str">
        <f t="shared" si="21"/>
        <v>Delivered</v>
      </c>
    </row>
    <row r="92" spans="1:29" x14ac:dyDescent="0.3">
      <c r="A92" s="1" t="s">
        <v>209</v>
      </c>
      <c r="B92" s="1" t="s">
        <v>210</v>
      </c>
      <c r="C92" s="1" t="s">
        <v>99</v>
      </c>
      <c r="D92" s="1" t="s">
        <v>23</v>
      </c>
      <c r="E92" s="1" t="s">
        <v>41</v>
      </c>
      <c r="F92" s="1" t="s">
        <v>42</v>
      </c>
      <c r="G92" s="1">
        <v>26</v>
      </c>
      <c r="H92" s="1">
        <v>107</v>
      </c>
      <c r="I92" s="1">
        <v>2782</v>
      </c>
      <c r="J92" s="1">
        <v>1300</v>
      </c>
      <c r="K92" s="1">
        <v>1482</v>
      </c>
      <c r="L92" s="1">
        <v>3400</v>
      </c>
      <c r="M92" s="1" t="s">
        <v>26</v>
      </c>
      <c r="N92" s="1" t="s">
        <v>20</v>
      </c>
      <c r="P92" s="29" t="str">
        <f t="shared" si="11"/>
        <v>ORD1086</v>
      </c>
      <c r="Q92" s="29" t="str">
        <f t="shared" si="12"/>
        <v>Madhurima Sen</v>
      </c>
      <c r="R92" s="29" t="str">
        <f t="shared" si="13"/>
        <v>Notebook</v>
      </c>
      <c r="S92" s="29" t="str">
        <f t="shared" si="14"/>
        <v>Stationery</v>
      </c>
      <c r="T92" s="29" t="str">
        <f t="shared" si="15"/>
        <v>North</v>
      </c>
      <c r="U92" s="29" t="str">
        <f t="shared" si="16"/>
        <v>Sneha Roy</v>
      </c>
      <c r="V92" s="29">
        <f t="shared" si="17"/>
        <v>26</v>
      </c>
      <c r="W92" s="29">
        <f t="shared" si="18"/>
        <v>107</v>
      </c>
      <c r="X92" s="29">
        <f t="shared" si="19"/>
        <v>2782</v>
      </c>
      <c r="Y92" s="29">
        <v>1300</v>
      </c>
      <c r="Z92" s="29">
        <f t="shared" si="20"/>
        <v>1482</v>
      </c>
      <c r="AA92" s="29">
        <v>3400</v>
      </c>
      <c r="AB92" s="29" t="s">
        <v>26</v>
      </c>
      <c r="AC92" s="29" t="str">
        <f t="shared" si="21"/>
        <v>Delivered</v>
      </c>
    </row>
    <row r="93" spans="1:29" x14ac:dyDescent="0.3">
      <c r="A93" s="1" t="s">
        <v>211</v>
      </c>
      <c r="B93" s="1" t="s">
        <v>212</v>
      </c>
      <c r="C93" s="1" t="s">
        <v>33</v>
      </c>
      <c r="D93" s="1" t="s">
        <v>16</v>
      </c>
      <c r="E93" s="1" t="s">
        <v>41</v>
      </c>
      <c r="F93" s="1" t="s">
        <v>42</v>
      </c>
      <c r="G93" s="1">
        <v>2</v>
      </c>
      <c r="H93" s="1">
        <v>11280</v>
      </c>
      <c r="I93" s="1">
        <v>22560</v>
      </c>
      <c r="J93" s="1">
        <v>17100</v>
      </c>
      <c r="K93" s="1">
        <v>5460</v>
      </c>
      <c r="L93" s="1">
        <v>25000</v>
      </c>
      <c r="M93" s="1" t="s">
        <v>28</v>
      </c>
      <c r="N93" s="1" t="s">
        <v>20</v>
      </c>
      <c r="P93" s="29" t="str">
        <f t="shared" si="11"/>
        <v>ORD1142</v>
      </c>
      <c r="Q93" s="29" t="str">
        <f t="shared" si="12"/>
        <v>Nikita Sen</v>
      </c>
      <c r="R93" s="29" t="str">
        <f t="shared" si="13"/>
        <v>Bookshelf</v>
      </c>
      <c r="S93" s="29" t="str">
        <f t="shared" si="14"/>
        <v>Furniture</v>
      </c>
      <c r="T93" s="29" t="str">
        <f t="shared" si="15"/>
        <v>North</v>
      </c>
      <c r="U93" s="29" t="str">
        <f t="shared" si="16"/>
        <v>Sneha Roy</v>
      </c>
      <c r="V93" s="29">
        <f t="shared" si="17"/>
        <v>2</v>
      </c>
      <c r="W93" s="29">
        <f t="shared" si="18"/>
        <v>11280</v>
      </c>
      <c r="X93" s="29">
        <f t="shared" si="19"/>
        <v>22560</v>
      </c>
      <c r="Y93" s="29">
        <v>17100</v>
      </c>
      <c r="Z93" s="29">
        <f t="shared" si="20"/>
        <v>5460</v>
      </c>
      <c r="AA93" s="29">
        <v>25000</v>
      </c>
      <c r="AB93" s="29" t="s">
        <v>28</v>
      </c>
      <c r="AC93" s="29" t="str">
        <f t="shared" si="21"/>
        <v>Delivered</v>
      </c>
    </row>
    <row r="94" spans="1:29" x14ac:dyDescent="0.3">
      <c r="A94" s="1" t="s">
        <v>213</v>
      </c>
      <c r="B94" s="1" t="s">
        <v>214</v>
      </c>
      <c r="C94" s="1" t="s">
        <v>40</v>
      </c>
      <c r="D94" s="1" t="s">
        <v>16</v>
      </c>
      <c r="E94" s="1" t="s">
        <v>24</v>
      </c>
      <c r="F94" s="1" t="s">
        <v>25</v>
      </c>
      <c r="G94" s="1">
        <v>2</v>
      </c>
      <c r="H94" s="1">
        <v>6600</v>
      </c>
      <c r="I94" s="1">
        <v>13200</v>
      </c>
      <c r="J94" s="1">
        <v>9800</v>
      </c>
      <c r="K94" s="1">
        <v>3400</v>
      </c>
      <c r="L94" s="1">
        <v>15000</v>
      </c>
      <c r="M94" s="1" t="s">
        <v>19</v>
      </c>
      <c r="N94" s="1" t="s">
        <v>20</v>
      </c>
      <c r="P94" s="29" t="str">
        <f t="shared" si="11"/>
        <v>ORD1037</v>
      </c>
      <c r="Q94" s="29" t="str">
        <f t="shared" si="12"/>
        <v>Sagnik Roy</v>
      </c>
      <c r="R94" s="29" t="str">
        <f t="shared" si="13"/>
        <v>Office Chair</v>
      </c>
      <c r="S94" s="29" t="str">
        <f t="shared" si="14"/>
        <v>Furniture</v>
      </c>
      <c r="T94" s="29" t="str">
        <f t="shared" si="15"/>
        <v>East</v>
      </c>
      <c r="U94" s="29" t="str">
        <f t="shared" si="16"/>
        <v>Rahul Das</v>
      </c>
      <c r="V94" s="29">
        <f t="shared" si="17"/>
        <v>2</v>
      </c>
      <c r="W94" s="29">
        <f t="shared" si="18"/>
        <v>6600</v>
      </c>
      <c r="X94" s="29">
        <f t="shared" si="19"/>
        <v>13200</v>
      </c>
      <c r="Y94" s="29">
        <v>9800</v>
      </c>
      <c r="Z94" s="29">
        <f t="shared" si="20"/>
        <v>3400</v>
      </c>
      <c r="AA94" s="29">
        <v>15000</v>
      </c>
      <c r="AB94" s="29" t="s">
        <v>19</v>
      </c>
      <c r="AC94" s="29" t="str">
        <f t="shared" si="21"/>
        <v>Delivered</v>
      </c>
    </row>
    <row r="95" spans="1:29" x14ac:dyDescent="0.3">
      <c r="A95" s="1" t="s">
        <v>215</v>
      </c>
      <c r="B95" s="1" t="s">
        <v>216</v>
      </c>
      <c r="C95" s="1" t="s">
        <v>36</v>
      </c>
      <c r="D95" s="1" t="s">
        <v>37</v>
      </c>
      <c r="E95" s="1" t="s">
        <v>30</v>
      </c>
      <c r="F95" s="1" t="s">
        <v>31</v>
      </c>
      <c r="G95" s="1">
        <v>2</v>
      </c>
      <c r="H95" s="1">
        <v>15220</v>
      </c>
      <c r="I95" s="1">
        <v>30440</v>
      </c>
      <c r="J95" s="1">
        <v>23650</v>
      </c>
      <c r="K95" s="1">
        <v>6790</v>
      </c>
      <c r="L95" s="1">
        <v>34000</v>
      </c>
      <c r="M95" s="1" t="s">
        <v>19</v>
      </c>
      <c r="N95" s="1" t="s">
        <v>20</v>
      </c>
      <c r="P95" s="29" t="str">
        <f t="shared" si="11"/>
        <v>ORD1120</v>
      </c>
      <c r="Q95" s="29" t="str">
        <f t="shared" si="12"/>
        <v>Tania Ghosh</v>
      </c>
      <c r="R95" s="29" t="str">
        <f t="shared" si="13"/>
        <v>Printer</v>
      </c>
      <c r="S95" s="29" t="str">
        <f t="shared" si="14"/>
        <v>Electronics</v>
      </c>
      <c r="T95" s="29" t="str">
        <f t="shared" si="15"/>
        <v>South</v>
      </c>
      <c r="U95" s="29" t="str">
        <f t="shared" si="16"/>
        <v>Pooja Dey</v>
      </c>
      <c r="V95" s="29">
        <f t="shared" si="17"/>
        <v>2</v>
      </c>
      <c r="W95" s="29">
        <f t="shared" si="18"/>
        <v>15220</v>
      </c>
      <c r="X95" s="29">
        <f t="shared" si="19"/>
        <v>30440</v>
      </c>
      <c r="Y95" s="29">
        <v>23650</v>
      </c>
      <c r="Z95" s="29">
        <f t="shared" si="20"/>
        <v>6790</v>
      </c>
      <c r="AA95" s="29">
        <v>34000</v>
      </c>
      <c r="AB95" s="29" t="s">
        <v>19</v>
      </c>
      <c r="AC95" s="29" t="str">
        <f t="shared" si="21"/>
        <v>Delivered</v>
      </c>
    </row>
    <row r="96" spans="1:29" x14ac:dyDescent="0.3">
      <c r="A96" s="1" t="s">
        <v>217</v>
      </c>
      <c r="B96" s="1" t="s">
        <v>218</v>
      </c>
      <c r="C96" s="1" t="s">
        <v>47</v>
      </c>
      <c r="D96" s="1" t="s">
        <v>23</v>
      </c>
      <c r="E96" s="1" t="s">
        <v>41</v>
      </c>
      <c r="F96" s="1" t="s">
        <v>42</v>
      </c>
      <c r="G96" s="1">
        <v>18</v>
      </c>
      <c r="H96" s="1">
        <v>265</v>
      </c>
      <c r="I96" s="1">
        <v>4770</v>
      </c>
      <c r="J96" s="1">
        <v>2000</v>
      </c>
      <c r="K96" s="1">
        <v>2770</v>
      </c>
      <c r="L96" s="1">
        <v>5200</v>
      </c>
      <c r="M96" s="1" t="s">
        <v>26</v>
      </c>
      <c r="N96" s="1" t="s">
        <v>20</v>
      </c>
      <c r="P96" s="29" t="str">
        <f t="shared" si="11"/>
        <v>ORD1062</v>
      </c>
      <c r="Q96" s="29" t="str">
        <f t="shared" si="12"/>
        <v>Meenakshi Roy</v>
      </c>
      <c r="R96" s="29" t="str">
        <f t="shared" si="13"/>
        <v>Marker Set</v>
      </c>
      <c r="S96" s="29" t="str">
        <f t="shared" si="14"/>
        <v>Stationery</v>
      </c>
      <c r="T96" s="29" t="str">
        <f t="shared" si="15"/>
        <v>North</v>
      </c>
      <c r="U96" s="29" t="str">
        <f t="shared" si="16"/>
        <v>Sneha Roy</v>
      </c>
      <c r="V96" s="29">
        <f t="shared" si="17"/>
        <v>18</v>
      </c>
      <c r="W96" s="29">
        <f t="shared" si="18"/>
        <v>265</v>
      </c>
      <c r="X96" s="29">
        <f t="shared" si="19"/>
        <v>4770</v>
      </c>
      <c r="Y96" s="29">
        <v>2000</v>
      </c>
      <c r="Z96" s="29">
        <f t="shared" si="20"/>
        <v>2770</v>
      </c>
      <c r="AA96" s="29">
        <v>5200</v>
      </c>
      <c r="AB96" s="29" t="s">
        <v>26</v>
      </c>
      <c r="AC96" s="29" t="str">
        <f t="shared" si="21"/>
        <v>Delivered</v>
      </c>
    </row>
    <row r="97" spans="1:29" x14ac:dyDescent="0.3">
      <c r="A97" s="1" t="s">
        <v>219</v>
      </c>
      <c r="B97" s="1" t="s">
        <v>220</v>
      </c>
      <c r="C97" s="1" t="s">
        <v>99</v>
      </c>
      <c r="D97" s="1" t="s">
        <v>23</v>
      </c>
      <c r="E97" s="1" t="s">
        <v>17</v>
      </c>
      <c r="F97" s="1" t="s">
        <v>18</v>
      </c>
      <c r="G97" s="1">
        <v>22</v>
      </c>
      <c r="H97" s="1">
        <v>110</v>
      </c>
      <c r="I97" s="1">
        <v>2420</v>
      </c>
      <c r="J97" s="1">
        <v>1250</v>
      </c>
      <c r="K97" s="1">
        <v>1170</v>
      </c>
      <c r="L97" s="1">
        <v>3000</v>
      </c>
      <c r="M97" s="1" t="s">
        <v>28</v>
      </c>
      <c r="N97" s="1" t="s">
        <v>20</v>
      </c>
      <c r="P97" s="29" t="str">
        <f t="shared" si="11"/>
        <v>ORD1023</v>
      </c>
      <c r="Q97" s="29" t="str">
        <f t="shared" si="12"/>
        <v>Rohan Sethi</v>
      </c>
      <c r="R97" s="29" t="str">
        <f t="shared" si="13"/>
        <v>Notebook</v>
      </c>
      <c r="S97" s="29" t="str">
        <f t="shared" si="14"/>
        <v>Stationery</v>
      </c>
      <c r="T97" s="29" t="str">
        <f t="shared" si="15"/>
        <v>West</v>
      </c>
      <c r="U97" s="29" t="str">
        <f t="shared" si="16"/>
        <v>Amit Paul</v>
      </c>
      <c r="V97" s="29">
        <f t="shared" si="17"/>
        <v>22</v>
      </c>
      <c r="W97" s="29">
        <f t="shared" si="18"/>
        <v>110</v>
      </c>
      <c r="X97" s="29">
        <f t="shared" si="19"/>
        <v>2420</v>
      </c>
      <c r="Y97" s="29">
        <v>1250</v>
      </c>
      <c r="Z97" s="29">
        <f t="shared" si="20"/>
        <v>1170</v>
      </c>
      <c r="AA97" s="29">
        <v>3000</v>
      </c>
      <c r="AB97" s="29" t="s">
        <v>28</v>
      </c>
      <c r="AC97" s="29" t="str">
        <f t="shared" si="21"/>
        <v>Delivered</v>
      </c>
    </row>
    <row r="98" spans="1:29" x14ac:dyDescent="0.3">
      <c r="A98" s="1" t="s">
        <v>221</v>
      </c>
      <c r="B98" s="1" t="s">
        <v>222</v>
      </c>
      <c r="C98" s="1" t="s">
        <v>15</v>
      </c>
      <c r="D98" s="1" t="s">
        <v>16</v>
      </c>
      <c r="E98" s="1" t="s">
        <v>17</v>
      </c>
      <c r="F98" s="1" t="s">
        <v>18</v>
      </c>
      <c r="G98" s="1">
        <v>3</v>
      </c>
      <c r="H98" s="1">
        <v>9180</v>
      </c>
      <c r="I98" s="1">
        <v>27540</v>
      </c>
      <c r="J98" s="1">
        <v>20300</v>
      </c>
      <c r="K98" s="1">
        <v>7240</v>
      </c>
      <c r="L98" s="1">
        <v>30000</v>
      </c>
      <c r="M98" s="1" t="s">
        <v>28</v>
      </c>
      <c r="N98" s="1" t="s">
        <v>20</v>
      </c>
      <c r="P98" s="29" t="str">
        <f t="shared" si="11"/>
        <v>ORD1139</v>
      </c>
      <c r="Q98" s="29" t="str">
        <f t="shared" si="12"/>
        <v>Harsh Roy</v>
      </c>
      <c r="R98" s="29" t="str">
        <f t="shared" si="13"/>
        <v>Desk</v>
      </c>
      <c r="S98" s="29" t="str">
        <f t="shared" si="14"/>
        <v>Furniture</v>
      </c>
      <c r="T98" s="29" t="str">
        <f t="shared" si="15"/>
        <v>West</v>
      </c>
      <c r="U98" s="29" t="str">
        <f t="shared" si="16"/>
        <v>Amit Paul</v>
      </c>
      <c r="V98" s="29">
        <f t="shared" si="17"/>
        <v>3</v>
      </c>
      <c r="W98" s="29">
        <f t="shared" si="18"/>
        <v>9180</v>
      </c>
      <c r="X98" s="29">
        <f t="shared" si="19"/>
        <v>27540</v>
      </c>
      <c r="Y98" s="29">
        <v>20300</v>
      </c>
      <c r="Z98" s="29">
        <f t="shared" si="20"/>
        <v>7240</v>
      </c>
      <c r="AA98" s="29">
        <v>30000</v>
      </c>
      <c r="AB98" s="29" t="s">
        <v>28</v>
      </c>
      <c r="AC98" s="29" t="str">
        <f t="shared" si="21"/>
        <v>Delivered</v>
      </c>
    </row>
    <row r="99" spans="1:29" x14ac:dyDescent="0.3">
      <c r="A99" s="1" t="s">
        <v>223</v>
      </c>
      <c r="B99" s="1" t="s">
        <v>224</v>
      </c>
      <c r="C99" s="1" t="s">
        <v>15</v>
      </c>
      <c r="D99" s="1" t="s">
        <v>16</v>
      </c>
      <c r="E99" s="1" t="s">
        <v>30</v>
      </c>
      <c r="F99" s="1" t="s">
        <v>31</v>
      </c>
      <c r="G99" s="1">
        <v>2</v>
      </c>
      <c r="H99" s="1">
        <v>9450</v>
      </c>
      <c r="I99" s="1">
        <v>18900</v>
      </c>
      <c r="J99" s="1">
        <v>14000</v>
      </c>
      <c r="K99" s="1">
        <v>4900</v>
      </c>
      <c r="L99" s="1">
        <v>21000</v>
      </c>
      <c r="M99" s="1" t="s">
        <v>28</v>
      </c>
      <c r="N99" s="1" t="s">
        <v>20</v>
      </c>
      <c r="P99" s="29" t="str">
        <f t="shared" si="11"/>
        <v xml:space="preserve">  ORD1112  </v>
      </c>
      <c r="Q99" s="29" t="str">
        <f t="shared" si="12"/>
        <v>Megha Dey</v>
      </c>
      <c r="R99" s="29" t="str">
        <f t="shared" si="13"/>
        <v>Desk</v>
      </c>
      <c r="S99" s="29" t="str">
        <f t="shared" si="14"/>
        <v>Furniture</v>
      </c>
      <c r="T99" s="29" t="str">
        <f t="shared" si="15"/>
        <v>South</v>
      </c>
      <c r="U99" s="29" t="str">
        <f t="shared" si="16"/>
        <v>Pooja Dey</v>
      </c>
      <c r="V99" s="29">
        <f t="shared" si="17"/>
        <v>2</v>
      </c>
      <c r="W99" s="29">
        <f t="shared" si="18"/>
        <v>9450</v>
      </c>
      <c r="X99" s="29">
        <f t="shared" si="19"/>
        <v>18900</v>
      </c>
      <c r="Y99" s="29">
        <v>14000</v>
      </c>
      <c r="Z99" s="29">
        <f t="shared" si="20"/>
        <v>4900</v>
      </c>
      <c r="AA99" s="29">
        <v>21000</v>
      </c>
      <c r="AB99" s="29" t="s">
        <v>28</v>
      </c>
      <c r="AC99" s="29" t="str">
        <f t="shared" si="21"/>
        <v>Delivered</v>
      </c>
    </row>
    <row r="100" spans="1:29" x14ac:dyDescent="0.3">
      <c r="A100" s="1" t="s">
        <v>225</v>
      </c>
      <c r="B100" s="1" t="s">
        <v>226</v>
      </c>
      <c r="C100" s="1" t="s">
        <v>33</v>
      </c>
      <c r="D100" s="1" t="s">
        <v>16</v>
      </c>
      <c r="E100" s="1" t="s">
        <v>41</v>
      </c>
      <c r="F100" s="1" t="s">
        <v>42</v>
      </c>
      <c r="G100" s="1">
        <v>2</v>
      </c>
      <c r="H100" s="1">
        <v>11200</v>
      </c>
      <c r="I100" s="1">
        <v>22400</v>
      </c>
      <c r="J100" s="1">
        <v>17000</v>
      </c>
      <c r="K100" s="1">
        <v>5400</v>
      </c>
      <c r="L100" s="1">
        <v>25000</v>
      </c>
      <c r="M100" s="1" t="s">
        <v>19</v>
      </c>
      <c r="N100" s="1" t="s">
        <v>20</v>
      </c>
      <c r="P100" s="29" t="str">
        <f t="shared" si="11"/>
        <v>ORD1034</v>
      </c>
      <c r="Q100" s="29" t="str">
        <f t="shared" si="12"/>
        <v>Megha Kapoor</v>
      </c>
      <c r="R100" s="29" t="str">
        <f t="shared" si="13"/>
        <v>Bookshelf</v>
      </c>
      <c r="S100" s="29" t="str">
        <f t="shared" si="14"/>
        <v>Furniture</v>
      </c>
      <c r="T100" s="29" t="str">
        <f t="shared" si="15"/>
        <v>North</v>
      </c>
      <c r="U100" s="29" t="str">
        <f t="shared" si="16"/>
        <v>Sneha Roy</v>
      </c>
      <c r="V100" s="29">
        <f t="shared" si="17"/>
        <v>2</v>
      </c>
      <c r="W100" s="29">
        <f t="shared" si="18"/>
        <v>11200</v>
      </c>
      <c r="X100" s="29">
        <f t="shared" si="19"/>
        <v>22400</v>
      </c>
      <c r="Y100" s="29">
        <v>17000</v>
      </c>
      <c r="Z100" s="29">
        <f t="shared" si="20"/>
        <v>5400</v>
      </c>
      <c r="AA100" s="29">
        <v>25000</v>
      </c>
      <c r="AB100" s="29" t="s">
        <v>19</v>
      </c>
      <c r="AC100" s="29" t="str">
        <f t="shared" si="21"/>
        <v>Delivered</v>
      </c>
    </row>
    <row r="101" spans="1:29" x14ac:dyDescent="0.3">
      <c r="A101" s="1" t="s">
        <v>227</v>
      </c>
      <c r="B101" s="1" t="s">
        <v>228</v>
      </c>
      <c r="C101" s="1" t="s">
        <v>40</v>
      </c>
      <c r="D101" s="1" t="s">
        <v>16</v>
      </c>
      <c r="E101" s="1" t="s">
        <v>30</v>
      </c>
      <c r="F101" s="1" t="s">
        <v>31</v>
      </c>
      <c r="G101" s="1">
        <v>4</v>
      </c>
      <c r="H101" s="1">
        <v>6800</v>
      </c>
      <c r="I101" s="1">
        <v>27200</v>
      </c>
      <c r="J101" s="1">
        <v>20000</v>
      </c>
      <c r="K101" s="1">
        <v>7200</v>
      </c>
      <c r="L101" s="1">
        <v>30000</v>
      </c>
      <c r="M101" s="1" t="s">
        <v>28</v>
      </c>
      <c r="N101" s="1" t="s">
        <v>20</v>
      </c>
      <c r="P101" s="29" t="str">
        <f t="shared" si="11"/>
        <v>ORD1012</v>
      </c>
      <c r="Q101" s="29" t="str">
        <f t="shared" si="12"/>
        <v>Dev Malhotra</v>
      </c>
      <c r="R101" s="29" t="str">
        <f t="shared" si="13"/>
        <v>Office Chair</v>
      </c>
      <c r="S101" s="29" t="str">
        <f t="shared" si="14"/>
        <v>Furniture</v>
      </c>
      <c r="T101" s="29" t="str">
        <f t="shared" si="15"/>
        <v>South</v>
      </c>
      <c r="U101" s="29" t="str">
        <f t="shared" si="16"/>
        <v>Pooja Dey</v>
      </c>
      <c r="V101" s="29">
        <f t="shared" si="17"/>
        <v>4</v>
      </c>
      <c r="W101" s="29">
        <f t="shared" si="18"/>
        <v>6800</v>
      </c>
      <c r="X101" s="29">
        <f t="shared" si="19"/>
        <v>27200</v>
      </c>
      <c r="Y101" s="29">
        <v>20000</v>
      </c>
      <c r="Z101" s="29">
        <f t="shared" si="20"/>
        <v>7200</v>
      </c>
      <c r="AA101" s="29">
        <v>30000</v>
      </c>
      <c r="AB101" s="29" t="s">
        <v>28</v>
      </c>
      <c r="AC101" s="29" t="str">
        <f t="shared" si="21"/>
        <v>Delivered</v>
      </c>
    </row>
    <row r="102" spans="1:29" x14ac:dyDescent="0.3">
      <c r="A102" s="1" t="s">
        <v>229</v>
      </c>
      <c r="B102" s="1" t="s">
        <v>230</v>
      </c>
      <c r="C102" s="1" t="s">
        <v>88</v>
      </c>
      <c r="D102" s="1" t="s">
        <v>37</v>
      </c>
      <c r="E102" s="1" t="s">
        <v>30</v>
      </c>
      <c r="F102" s="1" t="s">
        <v>31</v>
      </c>
      <c r="G102" s="1">
        <v>3</v>
      </c>
      <c r="H102" s="1">
        <v>12410</v>
      </c>
      <c r="I102" s="1">
        <v>37230</v>
      </c>
      <c r="J102" s="1">
        <v>28680</v>
      </c>
      <c r="K102" s="1">
        <v>8550</v>
      </c>
      <c r="L102" s="1">
        <v>41000</v>
      </c>
      <c r="M102" s="1" t="s">
        <v>19</v>
      </c>
      <c r="N102" s="1" t="s">
        <v>20</v>
      </c>
      <c r="P102" s="29" t="str">
        <f t="shared" si="11"/>
        <v>ORD1168</v>
      </c>
      <c r="Q102" s="29" t="str">
        <f t="shared" si="12"/>
        <v>Megha Ghosh</v>
      </c>
      <c r="R102" s="29" t="str">
        <f t="shared" si="13"/>
        <v>Monitor</v>
      </c>
      <c r="S102" s="29" t="str">
        <f t="shared" si="14"/>
        <v>Electronics</v>
      </c>
      <c r="T102" s="29" t="str">
        <f t="shared" si="15"/>
        <v>South</v>
      </c>
      <c r="U102" s="29" t="str">
        <f t="shared" si="16"/>
        <v>Pooja Dey</v>
      </c>
      <c r="V102" s="29">
        <f t="shared" si="17"/>
        <v>3</v>
      </c>
      <c r="W102" s="29">
        <f t="shared" si="18"/>
        <v>12410</v>
      </c>
      <c r="X102" s="29">
        <f t="shared" si="19"/>
        <v>37230</v>
      </c>
      <c r="Y102" s="29">
        <v>28680</v>
      </c>
      <c r="Z102" s="29">
        <f t="shared" si="20"/>
        <v>8550</v>
      </c>
      <c r="AA102" s="29">
        <v>41000</v>
      </c>
      <c r="AB102" s="29" t="s">
        <v>19</v>
      </c>
      <c r="AC102" s="29" t="str">
        <f t="shared" si="21"/>
        <v>Delivered</v>
      </c>
    </row>
    <row r="103" spans="1:29" x14ac:dyDescent="0.3">
      <c r="A103" s="1" t="s">
        <v>231</v>
      </c>
      <c r="B103" s="1" t="s">
        <v>232</v>
      </c>
      <c r="C103" s="1" t="s">
        <v>22</v>
      </c>
      <c r="D103" s="1" t="s">
        <v>23</v>
      </c>
      <c r="E103" s="1" t="s">
        <v>17</v>
      </c>
      <c r="F103" s="1" t="s">
        <v>18</v>
      </c>
      <c r="G103" s="1">
        <v>20</v>
      </c>
      <c r="H103" s="1">
        <v>150</v>
      </c>
      <c r="I103" s="1">
        <v>3000</v>
      </c>
      <c r="J103" s="1">
        <v>1200</v>
      </c>
      <c r="K103" s="1">
        <v>1800</v>
      </c>
      <c r="L103" s="1">
        <v>4000</v>
      </c>
      <c r="M103" s="1" t="s">
        <v>26</v>
      </c>
      <c r="N103" s="1" t="s">
        <v>20</v>
      </c>
      <c r="P103" s="29" t="str">
        <f t="shared" si="11"/>
        <v>ORD1007</v>
      </c>
      <c r="Q103" s="29" t="str">
        <f t="shared" si="12"/>
        <v>Meera Iyer</v>
      </c>
      <c r="R103" s="29" t="str">
        <f t="shared" si="13"/>
        <v>Pen Pack</v>
      </c>
      <c r="S103" s="29" t="str">
        <f t="shared" si="14"/>
        <v>Stationery</v>
      </c>
      <c r="T103" s="29" t="str">
        <f t="shared" si="15"/>
        <v>West</v>
      </c>
      <c r="U103" s="29" t="str">
        <f t="shared" si="16"/>
        <v>Amit Paul</v>
      </c>
      <c r="V103" s="29">
        <f t="shared" si="17"/>
        <v>20</v>
      </c>
      <c r="W103" s="29">
        <f t="shared" si="18"/>
        <v>150</v>
      </c>
      <c r="X103" s="29">
        <f t="shared" si="19"/>
        <v>3000</v>
      </c>
      <c r="Y103" s="29">
        <v>1200</v>
      </c>
      <c r="Z103" s="29">
        <f t="shared" si="20"/>
        <v>1800</v>
      </c>
      <c r="AA103" s="29">
        <v>4000</v>
      </c>
      <c r="AB103" s="29" t="s">
        <v>26</v>
      </c>
      <c r="AC103" s="29" t="str">
        <f t="shared" si="21"/>
        <v>Delivered</v>
      </c>
    </row>
    <row r="104" spans="1:29" x14ac:dyDescent="0.3">
      <c r="A104" s="1" t="s">
        <v>233</v>
      </c>
      <c r="B104" s="1" t="s">
        <v>234</v>
      </c>
      <c r="C104" s="1" t="s">
        <v>40</v>
      </c>
      <c r="D104" s="1" t="s">
        <v>16</v>
      </c>
      <c r="E104" s="1" t="s">
        <v>30</v>
      </c>
      <c r="F104" s="1" t="s">
        <v>31</v>
      </c>
      <c r="G104" s="1">
        <v>3</v>
      </c>
      <c r="H104" s="1">
        <v>6700</v>
      </c>
      <c r="I104" s="1">
        <v>20100</v>
      </c>
      <c r="J104" s="1">
        <v>14900</v>
      </c>
      <c r="K104" s="1">
        <v>5200</v>
      </c>
      <c r="L104" s="1">
        <v>23000</v>
      </c>
      <c r="M104" s="1" t="s">
        <v>19</v>
      </c>
      <c r="N104" s="1" t="s">
        <v>43</v>
      </c>
      <c r="P104" s="29" t="str">
        <f t="shared" si="11"/>
        <v>ORD1028</v>
      </c>
      <c r="Q104" s="29" t="str">
        <f t="shared" si="12"/>
        <v>Shruti Ghosh</v>
      </c>
      <c r="R104" s="29" t="str">
        <f t="shared" si="13"/>
        <v>Office Chair</v>
      </c>
      <c r="S104" s="29" t="str">
        <f t="shared" si="14"/>
        <v>Furniture</v>
      </c>
      <c r="T104" s="29" t="str">
        <f t="shared" si="15"/>
        <v>South</v>
      </c>
      <c r="U104" s="29" t="str">
        <f t="shared" si="16"/>
        <v>Pooja Dey</v>
      </c>
      <c r="V104" s="29">
        <f t="shared" si="17"/>
        <v>3</v>
      </c>
      <c r="W104" s="29">
        <f t="shared" si="18"/>
        <v>6700</v>
      </c>
      <c r="X104" s="29">
        <f t="shared" si="19"/>
        <v>20100</v>
      </c>
      <c r="Y104" s="29">
        <v>14900</v>
      </c>
      <c r="Z104" s="29">
        <f t="shared" si="20"/>
        <v>5200</v>
      </c>
      <c r="AA104" s="29">
        <v>23000</v>
      </c>
      <c r="AB104" s="29" t="s">
        <v>19</v>
      </c>
      <c r="AC104" s="29" t="str">
        <f t="shared" si="21"/>
        <v>Pending</v>
      </c>
    </row>
    <row r="105" spans="1:29" x14ac:dyDescent="0.3">
      <c r="A105" s="1" t="s">
        <v>235</v>
      </c>
      <c r="B105" s="1" t="s">
        <v>236</v>
      </c>
      <c r="C105" s="1" t="s">
        <v>40</v>
      </c>
      <c r="D105" s="1" t="s">
        <v>16</v>
      </c>
      <c r="E105" s="1" t="s">
        <v>30</v>
      </c>
      <c r="F105" s="1" t="s">
        <v>31</v>
      </c>
      <c r="G105" s="1">
        <v>2</v>
      </c>
      <c r="H105" s="1">
        <v>6860</v>
      </c>
      <c r="I105" s="1">
        <v>13720</v>
      </c>
      <c r="J105" s="1">
        <v>10150</v>
      </c>
      <c r="K105" s="1">
        <v>3570</v>
      </c>
      <c r="L105" s="1">
        <v>15000</v>
      </c>
      <c r="M105" s="1" t="s">
        <v>28</v>
      </c>
      <c r="N105" s="1" t="s">
        <v>43</v>
      </c>
      <c r="P105" s="29" t="str">
        <f t="shared" si="11"/>
        <v>ORD1172</v>
      </c>
      <c r="Q105" s="29" t="str">
        <f t="shared" si="12"/>
        <v>Riya Banik</v>
      </c>
      <c r="R105" s="29" t="str">
        <f t="shared" si="13"/>
        <v>Office Chair</v>
      </c>
      <c r="S105" s="29" t="str">
        <f t="shared" si="14"/>
        <v>Furniture</v>
      </c>
      <c r="T105" s="29" t="str">
        <f t="shared" si="15"/>
        <v>South</v>
      </c>
      <c r="U105" s="29" t="str">
        <f t="shared" si="16"/>
        <v>Pooja Dey</v>
      </c>
      <c r="V105" s="29">
        <f t="shared" si="17"/>
        <v>2</v>
      </c>
      <c r="W105" s="29">
        <f t="shared" si="18"/>
        <v>6860</v>
      </c>
      <c r="X105" s="29">
        <f t="shared" si="19"/>
        <v>13720</v>
      </c>
      <c r="Y105" s="29">
        <v>10150</v>
      </c>
      <c r="Z105" s="29">
        <f t="shared" si="20"/>
        <v>3570</v>
      </c>
      <c r="AA105" s="29">
        <v>15000</v>
      </c>
      <c r="AB105" s="29" t="s">
        <v>28</v>
      </c>
      <c r="AC105" s="29" t="str">
        <f t="shared" si="21"/>
        <v>Pending</v>
      </c>
    </row>
    <row r="106" spans="1:29" x14ac:dyDescent="0.3">
      <c r="A106" s="1" t="s">
        <v>237</v>
      </c>
      <c r="B106" s="1" t="s">
        <v>238</v>
      </c>
      <c r="C106" s="1" t="s">
        <v>40</v>
      </c>
      <c r="D106" s="1" t="s">
        <v>16</v>
      </c>
      <c r="E106" s="1" t="s">
        <v>24</v>
      </c>
      <c r="F106" s="1" t="s">
        <v>25</v>
      </c>
      <c r="G106" s="1">
        <v>2</v>
      </c>
      <c r="H106" s="1">
        <v>6840</v>
      </c>
      <c r="I106" s="1">
        <v>13680</v>
      </c>
      <c r="J106" s="1">
        <v>10120</v>
      </c>
      <c r="K106" s="1">
        <v>3560</v>
      </c>
      <c r="L106" s="1">
        <v>15000</v>
      </c>
      <c r="M106" s="1" t="s">
        <v>28</v>
      </c>
      <c r="N106" s="1" t="s">
        <v>20</v>
      </c>
      <c r="P106" s="29" t="str">
        <f t="shared" si="11"/>
        <v>ORD1145</v>
      </c>
      <c r="Q106" s="29" t="str">
        <f t="shared" si="12"/>
        <v>ABHISHEK SEN</v>
      </c>
      <c r="R106" s="29" t="str">
        <f t="shared" si="13"/>
        <v>Office Chair</v>
      </c>
      <c r="S106" s="29" t="str">
        <f t="shared" si="14"/>
        <v>Furniture</v>
      </c>
      <c r="T106" s="29" t="str">
        <f t="shared" si="15"/>
        <v>East</v>
      </c>
      <c r="U106" s="29" t="str">
        <f t="shared" si="16"/>
        <v>Rahul Das</v>
      </c>
      <c r="V106" s="29">
        <f t="shared" si="17"/>
        <v>2</v>
      </c>
      <c r="W106" s="29">
        <f t="shared" si="18"/>
        <v>6840</v>
      </c>
      <c r="X106" s="29">
        <f t="shared" si="19"/>
        <v>13680</v>
      </c>
      <c r="Y106" s="29">
        <v>10120</v>
      </c>
      <c r="Z106" s="29">
        <f t="shared" si="20"/>
        <v>3560</v>
      </c>
      <c r="AA106" s="29">
        <v>15000</v>
      </c>
      <c r="AB106" s="29" t="s">
        <v>28</v>
      </c>
      <c r="AC106" s="29" t="str">
        <f t="shared" si="21"/>
        <v>Delivered</v>
      </c>
    </row>
    <row r="107" spans="1:29" x14ac:dyDescent="0.3">
      <c r="A107" s="1" t="s">
        <v>239</v>
      </c>
      <c r="B107" s="1" t="s">
        <v>240</v>
      </c>
      <c r="C107" s="1" t="s">
        <v>36</v>
      </c>
      <c r="D107" s="1" t="s">
        <v>37</v>
      </c>
      <c r="E107" s="1" t="s">
        <v>24</v>
      </c>
      <c r="F107" s="1" t="s">
        <v>25</v>
      </c>
      <c r="G107" s="1">
        <v>1</v>
      </c>
      <c r="H107" s="1">
        <v>15000</v>
      </c>
      <c r="I107" s="1">
        <v>15000</v>
      </c>
      <c r="J107" s="1">
        <v>11800</v>
      </c>
      <c r="K107" s="1">
        <v>3200</v>
      </c>
      <c r="L107" s="1">
        <v>18000</v>
      </c>
      <c r="M107" s="1" t="s">
        <v>19</v>
      </c>
      <c r="N107" s="1" t="s">
        <v>20</v>
      </c>
      <c r="P107" s="29" t="str">
        <f t="shared" si="11"/>
        <v xml:space="preserve">  ORD1005  </v>
      </c>
      <c r="Q107" s="29" t="str">
        <f t="shared" si="12"/>
        <v>Arjun Nair</v>
      </c>
      <c r="R107" s="29" t="str">
        <f t="shared" si="13"/>
        <v>Printer</v>
      </c>
      <c r="S107" s="29" t="str">
        <f t="shared" si="14"/>
        <v>Electronics</v>
      </c>
      <c r="T107" s="29" t="str">
        <f t="shared" si="15"/>
        <v>East</v>
      </c>
      <c r="U107" s="29" t="str">
        <f t="shared" si="16"/>
        <v>Rahul Das</v>
      </c>
      <c r="V107" s="29">
        <f t="shared" si="17"/>
        <v>1</v>
      </c>
      <c r="W107" s="29">
        <f t="shared" si="18"/>
        <v>15000</v>
      </c>
      <c r="X107" s="29">
        <f t="shared" si="19"/>
        <v>15000</v>
      </c>
      <c r="Y107" s="29">
        <v>11800</v>
      </c>
      <c r="Z107" s="29">
        <f t="shared" si="20"/>
        <v>3200</v>
      </c>
      <c r="AA107" s="29">
        <v>18000</v>
      </c>
      <c r="AB107" s="29" t="s">
        <v>19</v>
      </c>
      <c r="AC107" s="29" t="str">
        <f t="shared" si="21"/>
        <v>Delivered</v>
      </c>
    </row>
    <row r="108" spans="1:29" x14ac:dyDescent="0.3">
      <c r="A108" s="1" t="s">
        <v>241</v>
      </c>
      <c r="B108" s="1" t="s">
        <v>242</v>
      </c>
      <c r="C108" s="1" t="s">
        <v>88</v>
      </c>
      <c r="D108" s="1" t="s">
        <v>37</v>
      </c>
      <c r="E108" s="1" t="s">
        <v>24</v>
      </c>
      <c r="F108" s="1" t="s">
        <v>25</v>
      </c>
      <c r="G108" s="1">
        <v>2</v>
      </c>
      <c r="H108" s="1">
        <v>12300</v>
      </c>
      <c r="I108" s="1">
        <v>24600</v>
      </c>
      <c r="J108" s="1">
        <v>18900</v>
      </c>
      <c r="K108" s="1">
        <v>5700</v>
      </c>
      <c r="L108" s="1">
        <v>27000</v>
      </c>
      <c r="M108" s="1" t="s">
        <v>26</v>
      </c>
      <c r="N108" s="1" t="s">
        <v>20</v>
      </c>
      <c r="P108" s="29" t="str">
        <f t="shared" si="11"/>
        <v>ORD1033</v>
      </c>
      <c r="Q108" s="29" t="str">
        <f t="shared" si="12"/>
        <v>Ritesh Saha</v>
      </c>
      <c r="R108" s="29" t="str">
        <f t="shared" si="13"/>
        <v>Monitor</v>
      </c>
      <c r="S108" s="29" t="str">
        <f t="shared" si="14"/>
        <v>Electronics</v>
      </c>
      <c r="T108" s="29" t="str">
        <f t="shared" si="15"/>
        <v>East</v>
      </c>
      <c r="U108" s="29" t="str">
        <f t="shared" si="16"/>
        <v>Rahul Das</v>
      </c>
      <c r="V108" s="29">
        <f t="shared" si="17"/>
        <v>2</v>
      </c>
      <c r="W108" s="29">
        <f t="shared" si="18"/>
        <v>12300</v>
      </c>
      <c r="X108" s="29">
        <f t="shared" si="19"/>
        <v>24600</v>
      </c>
      <c r="Y108" s="29">
        <v>18900</v>
      </c>
      <c r="Z108" s="29">
        <f t="shared" si="20"/>
        <v>5700</v>
      </c>
      <c r="AA108" s="29">
        <v>27000</v>
      </c>
      <c r="AB108" s="29" t="s">
        <v>26</v>
      </c>
      <c r="AC108" s="29" t="str">
        <f t="shared" si="21"/>
        <v>Delivered</v>
      </c>
    </row>
    <row r="109" spans="1:29" x14ac:dyDescent="0.3">
      <c r="A109" s="1" t="s">
        <v>243</v>
      </c>
      <c r="B109" s="1" t="s">
        <v>244</v>
      </c>
      <c r="C109" s="1" t="s">
        <v>88</v>
      </c>
      <c r="D109" s="1" t="s">
        <v>37</v>
      </c>
      <c r="E109" s="1" t="s">
        <v>41</v>
      </c>
      <c r="F109" s="1" t="s">
        <v>42</v>
      </c>
      <c r="G109" s="1">
        <v>2</v>
      </c>
      <c r="H109" s="1">
        <v>12400</v>
      </c>
      <c r="I109" s="1">
        <v>24800</v>
      </c>
      <c r="J109" s="1">
        <v>19050</v>
      </c>
      <c r="K109" s="1">
        <v>5750</v>
      </c>
      <c r="L109" s="1">
        <v>27500</v>
      </c>
      <c r="M109" s="1" t="s">
        <v>19</v>
      </c>
      <c r="N109" s="1" t="s">
        <v>20</v>
      </c>
      <c r="P109" s="29" t="str">
        <f t="shared" si="11"/>
        <v xml:space="preserve">  nan  </v>
      </c>
      <c r="Q109" s="29" t="str">
        <f t="shared" si="12"/>
        <v>Nandini Saha</v>
      </c>
      <c r="R109" s="29" t="str">
        <f t="shared" si="13"/>
        <v>Monitor</v>
      </c>
      <c r="S109" s="29" t="str">
        <f t="shared" si="14"/>
        <v>Electronics</v>
      </c>
      <c r="T109" s="29" t="str">
        <f t="shared" si="15"/>
        <v>North</v>
      </c>
      <c r="U109" s="29" t="str">
        <f t="shared" si="16"/>
        <v>Sneha Roy</v>
      </c>
      <c r="V109" s="29">
        <f t="shared" si="17"/>
        <v>2</v>
      </c>
      <c r="W109" s="29">
        <f t="shared" si="18"/>
        <v>12400</v>
      </c>
      <c r="X109" s="29">
        <f t="shared" si="19"/>
        <v>24800</v>
      </c>
      <c r="Y109" s="29">
        <v>19050</v>
      </c>
      <c r="Z109" s="29">
        <f t="shared" si="20"/>
        <v>5750</v>
      </c>
      <c r="AA109" s="29">
        <v>27500</v>
      </c>
      <c r="AB109" s="29" t="s">
        <v>19</v>
      </c>
      <c r="AC109" s="29" t="str">
        <f t="shared" si="21"/>
        <v>Delivered</v>
      </c>
    </row>
    <row r="110" spans="1:29" x14ac:dyDescent="0.3">
      <c r="A110" s="1" t="s">
        <v>245</v>
      </c>
      <c r="B110" s="1" t="s">
        <v>246</v>
      </c>
      <c r="C110" s="1" t="s">
        <v>56</v>
      </c>
      <c r="D110" s="1" t="s">
        <v>37</v>
      </c>
      <c r="E110" s="1" t="s">
        <v>24</v>
      </c>
      <c r="F110" s="1" t="s">
        <v>25</v>
      </c>
      <c r="G110" s="1">
        <v>1</v>
      </c>
      <c r="H110" s="1">
        <v>58050</v>
      </c>
      <c r="I110" s="1">
        <v>58050</v>
      </c>
      <c r="J110" s="1">
        <v>46400</v>
      </c>
      <c r="K110" s="1">
        <v>11650</v>
      </c>
      <c r="L110" s="1">
        <v>65000</v>
      </c>
      <c r="M110" s="1" t="s">
        <v>19</v>
      </c>
      <c r="N110" s="1" t="s">
        <v>20</v>
      </c>
      <c r="P110" s="29" t="str">
        <f t="shared" si="11"/>
        <v>ORD1153</v>
      </c>
      <c r="Q110" s="29" t="str">
        <f t="shared" si="12"/>
        <v>Rohit Das</v>
      </c>
      <c r="R110" s="29" t="str">
        <f t="shared" si="13"/>
        <v>Laptop</v>
      </c>
      <c r="S110" s="29" t="str">
        <f t="shared" si="14"/>
        <v>Electronics</v>
      </c>
      <c r="T110" s="29" t="str">
        <f t="shared" si="15"/>
        <v>East</v>
      </c>
      <c r="U110" s="29" t="str">
        <f t="shared" si="16"/>
        <v>Rahul Das</v>
      </c>
      <c r="V110" s="29">
        <f t="shared" si="17"/>
        <v>1</v>
      </c>
      <c r="W110" s="29">
        <f t="shared" si="18"/>
        <v>58050</v>
      </c>
      <c r="X110" s="29">
        <f t="shared" si="19"/>
        <v>58050</v>
      </c>
      <c r="Y110" s="29">
        <v>46400</v>
      </c>
      <c r="Z110" s="29">
        <f t="shared" si="20"/>
        <v>11650</v>
      </c>
      <c r="AA110" s="29">
        <v>65000</v>
      </c>
      <c r="AB110" s="29" t="s">
        <v>19</v>
      </c>
      <c r="AC110" s="29" t="str">
        <f t="shared" si="21"/>
        <v>Delivered</v>
      </c>
    </row>
    <row r="111" spans="1:29" x14ac:dyDescent="0.3">
      <c r="A111" s="1" t="s">
        <v>247</v>
      </c>
      <c r="B111" s="1" t="s">
        <v>248</v>
      </c>
      <c r="C111" s="1" t="s">
        <v>15</v>
      </c>
      <c r="D111" s="1" t="s">
        <v>16</v>
      </c>
      <c r="E111" s="1" t="s">
        <v>24</v>
      </c>
      <c r="F111" s="1" t="s">
        <v>25</v>
      </c>
      <c r="G111" s="1">
        <v>1</v>
      </c>
      <c r="H111" s="1">
        <v>9500</v>
      </c>
      <c r="I111" s="1">
        <v>9500</v>
      </c>
      <c r="J111" s="1">
        <v>7100</v>
      </c>
      <c r="K111" s="1">
        <v>2400</v>
      </c>
      <c r="L111" s="1">
        <v>12000</v>
      </c>
      <c r="M111" s="1" t="s">
        <v>28</v>
      </c>
      <c r="N111" s="1" t="s">
        <v>20</v>
      </c>
      <c r="P111" s="29" t="str">
        <f t="shared" si="11"/>
        <v>ORD1121</v>
      </c>
      <c r="Q111" s="29" t="str">
        <f t="shared" si="12"/>
        <v>Arnav Roy</v>
      </c>
      <c r="R111" s="29" t="str">
        <f t="shared" si="13"/>
        <v>Desk</v>
      </c>
      <c r="S111" s="29" t="str">
        <f t="shared" si="14"/>
        <v>Furniture</v>
      </c>
      <c r="T111" s="29" t="str">
        <f t="shared" si="15"/>
        <v>East</v>
      </c>
      <c r="U111" s="29" t="str">
        <f t="shared" si="16"/>
        <v>Rahul Das</v>
      </c>
      <c r="V111" s="29">
        <f t="shared" si="17"/>
        <v>1</v>
      </c>
      <c r="W111" s="29">
        <f t="shared" si="18"/>
        <v>9500</v>
      </c>
      <c r="X111" s="29">
        <f t="shared" si="19"/>
        <v>9500</v>
      </c>
      <c r="Y111" s="29">
        <v>7100</v>
      </c>
      <c r="Z111" s="29">
        <f t="shared" si="20"/>
        <v>2400</v>
      </c>
      <c r="AA111" s="29">
        <v>12000</v>
      </c>
      <c r="AB111" s="29" t="s">
        <v>28</v>
      </c>
      <c r="AC111" s="29" t="str">
        <f t="shared" si="21"/>
        <v>Delivered</v>
      </c>
    </row>
    <row r="112" spans="1:29" x14ac:dyDescent="0.3">
      <c r="A112" s="1" t="s">
        <v>249</v>
      </c>
      <c r="B112" s="1" t="s">
        <v>250</v>
      </c>
      <c r="C112" s="1" t="s">
        <v>88</v>
      </c>
      <c r="D112" s="1" t="s">
        <v>37</v>
      </c>
      <c r="E112" s="1" t="s">
        <v>17</v>
      </c>
      <c r="F112" s="1" t="s">
        <v>18</v>
      </c>
      <c r="G112" s="1">
        <v>2</v>
      </c>
      <c r="H112" s="1">
        <v>12270</v>
      </c>
      <c r="I112" s="1">
        <v>24540</v>
      </c>
      <c r="J112" s="1">
        <v>18820</v>
      </c>
      <c r="K112" s="1">
        <v>5720</v>
      </c>
      <c r="L112" s="1">
        <v>27000</v>
      </c>
      <c r="M112" s="1" t="s">
        <v>19</v>
      </c>
      <c r="N112" s="1" t="s">
        <v>20</v>
      </c>
      <c r="P112" s="29" t="str">
        <f t="shared" si="11"/>
        <v>ORD1195</v>
      </c>
      <c r="Q112" s="29" t="str">
        <f t="shared" si="12"/>
        <v>Rajiv Sen</v>
      </c>
      <c r="R112" s="29" t="str">
        <f t="shared" si="13"/>
        <v>Monitor</v>
      </c>
      <c r="S112" s="29" t="str">
        <f t="shared" si="14"/>
        <v>Electronics</v>
      </c>
      <c r="T112" s="29" t="str">
        <f t="shared" si="15"/>
        <v>West</v>
      </c>
      <c r="U112" s="29" t="str">
        <f t="shared" si="16"/>
        <v>Amit Paul</v>
      </c>
      <c r="V112" s="29">
        <f t="shared" si="17"/>
        <v>2</v>
      </c>
      <c r="W112" s="29">
        <f t="shared" si="18"/>
        <v>12270</v>
      </c>
      <c r="X112" s="29">
        <f t="shared" si="19"/>
        <v>24540</v>
      </c>
      <c r="Y112" s="29">
        <v>18820</v>
      </c>
      <c r="Z112" s="29">
        <f t="shared" si="20"/>
        <v>5720</v>
      </c>
      <c r="AA112" s="29">
        <v>27000</v>
      </c>
      <c r="AB112" s="29" t="s">
        <v>19</v>
      </c>
      <c r="AC112" s="29" t="str">
        <f t="shared" si="21"/>
        <v>Delivered</v>
      </c>
    </row>
    <row r="113" spans="1:29" x14ac:dyDescent="0.3">
      <c r="A113" s="1" t="s">
        <v>251</v>
      </c>
      <c r="B113" s="1" t="s">
        <v>252</v>
      </c>
      <c r="C113" s="1" t="s">
        <v>33</v>
      </c>
      <c r="D113" s="1" t="s">
        <v>16</v>
      </c>
      <c r="E113" s="1" t="s">
        <v>17</v>
      </c>
      <c r="F113" s="1" t="s">
        <v>18</v>
      </c>
      <c r="G113" s="1">
        <v>2</v>
      </c>
      <c r="H113" s="1">
        <v>11320</v>
      </c>
      <c r="I113" s="1">
        <v>22640</v>
      </c>
      <c r="J113" s="1">
        <v>17150</v>
      </c>
      <c r="K113" s="1">
        <v>5490</v>
      </c>
      <c r="L113" s="1">
        <v>25000</v>
      </c>
      <c r="M113" s="1" t="s">
        <v>28</v>
      </c>
      <c r="N113" s="1" t="s">
        <v>20</v>
      </c>
      <c r="P113" s="29" t="str">
        <f t="shared" si="11"/>
        <v>ORD1115</v>
      </c>
      <c r="Q113" s="29" t="str">
        <f t="shared" si="12"/>
        <v>Rajat Ghosh</v>
      </c>
      <c r="R113" s="29" t="str">
        <f t="shared" si="13"/>
        <v>Bookshelf</v>
      </c>
      <c r="S113" s="29" t="str">
        <f t="shared" si="14"/>
        <v>Furniture</v>
      </c>
      <c r="T113" s="29" t="str">
        <f t="shared" si="15"/>
        <v>West</v>
      </c>
      <c r="U113" s="29" t="str">
        <f t="shared" si="16"/>
        <v>Amit Paul</v>
      </c>
      <c r="V113" s="29">
        <f t="shared" si="17"/>
        <v>2</v>
      </c>
      <c r="W113" s="29">
        <f t="shared" si="18"/>
        <v>11320</v>
      </c>
      <c r="X113" s="29">
        <f t="shared" si="19"/>
        <v>22640</v>
      </c>
      <c r="Y113" s="29">
        <v>17150</v>
      </c>
      <c r="Z113" s="29">
        <f t="shared" si="20"/>
        <v>5490</v>
      </c>
      <c r="AA113" s="29">
        <v>25000</v>
      </c>
      <c r="AB113" s="29" t="s">
        <v>28</v>
      </c>
      <c r="AC113" s="29" t="str">
        <f t="shared" si="21"/>
        <v>Delivered</v>
      </c>
    </row>
    <row r="114" spans="1:29" x14ac:dyDescent="0.3">
      <c r="A114" s="1" t="s">
        <v>253</v>
      </c>
      <c r="B114" s="1" t="s">
        <v>254</v>
      </c>
      <c r="C114" s="1" t="s">
        <v>56</v>
      </c>
      <c r="D114" s="1" t="s">
        <v>37</v>
      </c>
      <c r="E114" s="1" t="s">
        <v>17</v>
      </c>
      <c r="F114" s="1" t="s">
        <v>18</v>
      </c>
      <c r="G114" s="1">
        <v>1</v>
      </c>
      <c r="H114" s="1">
        <v>58000</v>
      </c>
      <c r="I114" s="1">
        <v>58000</v>
      </c>
      <c r="J114" s="1">
        <v>47000</v>
      </c>
      <c r="K114" s="1">
        <v>11000</v>
      </c>
      <c r="L114" s="1">
        <v>65000</v>
      </c>
      <c r="M114" s="1" t="s">
        <v>19</v>
      </c>
      <c r="N114" s="1" t="s">
        <v>20</v>
      </c>
      <c r="P114" s="29" t="str">
        <f t="shared" si="11"/>
        <v>ORD1011</v>
      </c>
      <c r="Q114" s="29" t="str">
        <f t="shared" si="12"/>
        <v>Ananya Pal</v>
      </c>
      <c r="R114" s="29" t="str">
        <f t="shared" si="13"/>
        <v>Laptop</v>
      </c>
      <c r="S114" s="29" t="str">
        <f t="shared" si="14"/>
        <v>Electronics</v>
      </c>
      <c r="T114" s="29" t="str">
        <f t="shared" si="15"/>
        <v>West</v>
      </c>
      <c r="U114" s="29" t="str">
        <f t="shared" si="16"/>
        <v>Amit Paul</v>
      </c>
      <c r="V114" s="29">
        <f t="shared" si="17"/>
        <v>1</v>
      </c>
      <c r="W114" s="29">
        <f t="shared" si="18"/>
        <v>58000</v>
      </c>
      <c r="X114" s="29">
        <f t="shared" si="19"/>
        <v>58000</v>
      </c>
      <c r="Y114" s="29">
        <v>47000</v>
      </c>
      <c r="Z114" s="29">
        <f t="shared" si="20"/>
        <v>11000</v>
      </c>
      <c r="AA114" s="29">
        <v>65000</v>
      </c>
      <c r="AB114" s="29" t="s">
        <v>19</v>
      </c>
      <c r="AC114" s="29" t="str">
        <f t="shared" si="21"/>
        <v>Delivered</v>
      </c>
    </row>
    <row r="115" spans="1:29" x14ac:dyDescent="0.3">
      <c r="A115" s="1" t="s">
        <v>255</v>
      </c>
      <c r="B115" s="1" t="s">
        <v>256</v>
      </c>
      <c r="C115" s="1" t="s">
        <v>56</v>
      </c>
      <c r="D115" s="1" t="s">
        <v>37</v>
      </c>
      <c r="E115" s="1" t="s">
        <v>17</v>
      </c>
      <c r="F115" s="1" t="s">
        <v>18</v>
      </c>
      <c r="G115" s="1">
        <v>1</v>
      </c>
      <c r="H115" s="1">
        <v>58500</v>
      </c>
      <c r="I115" s="1">
        <v>58500</v>
      </c>
      <c r="J115" s="1">
        <v>46800</v>
      </c>
      <c r="K115" s="1">
        <v>11700</v>
      </c>
      <c r="L115" s="1">
        <v>65000</v>
      </c>
      <c r="M115" s="1" t="s">
        <v>19</v>
      </c>
      <c r="N115" s="1" t="s">
        <v>20</v>
      </c>
      <c r="P115" s="29" t="str">
        <f t="shared" si="11"/>
        <v>ORD1063</v>
      </c>
      <c r="Q115" s="29" t="str">
        <f t="shared" si="12"/>
        <v>Harshit Gupta</v>
      </c>
      <c r="R115" s="29" t="str">
        <f t="shared" si="13"/>
        <v>Laptop</v>
      </c>
      <c r="S115" s="29" t="str">
        <f t="shared" si="14"/>
        <v>Electronics</v>
      </c>
      <c r="T115" s="29" t="str">
        <f t="shared" si="15"/>
        <v>West</v>
      </c>
      <c r="U115" s="29" t="str">
        <f t="shared" si="16"/>
        <v>Amit Paul</v>
      </c>
      <c r="V115" s="29">
        <f t="shared" si="17"/>
        <v>1</v>
      </c>
      <c r="W115" s="29">
        <f t="shared" si="18"/>
        <v>58500</v>
      </c>
      <c r="X115" s="29">
        <f t="shared" si="19"/>
        <v>58500</v>
      </c>
      <c r="Y115" s="29">
        <v>46800</v>
      </c>
      <c r="Z115" s="29">
        <f t="shared" si="20"/>
        <v>11700</v>
      </c>
      <c r="AA115" s="29">
        <v>65000</v>
      </c>
      <c r="AB115" s="29" t="s">
        <v>19</v>
      </c>
      <c r="AC115" s="29" t="str">
        <f t="shared" si="21"/>
        <v>Delivered</v>
      </c>
    </row>
    <row r="116" spans="1:29" x14ac:dyDescent="0.3">
      <c r="A116" s="1" t="s">
        <v>257</v>
      </c>
      <c r="B116" s="1" t="s">
        <v>214</v>
      </c>
      <c r="C116" s="1" t="s">
        <v>99</v>
      </c>
      <c r="D116" s="1" t="s">
        <v>23</v>
      </c>
      <c r="E116" s="1" t="s">
        <v>24</v>
      </c>
      <c r="F116" s="1" t="s">
        <v>25</v>
      </c>
      <c r="G116" s="1">
        <v>28</v>
      </c>
      <c r="H116" s="1">
        <v>102</v>
      </c>
      <c r="I116" s="1">
        <v>2856</v>
      </c>
      <c r="J116" s="1">
        <v>1380</v>
      </c>
      <c r="K116" s="1">
        <v>1476</v>
      </c>
      <c r="L116" s="1">
        <v>3600</v>
      </c>
      <c r="M116" s="1" t="s">
        <v>26</v>
      </c>
      <c r="N116" s="1" t="s">
        <v>20</v>
      </c>
      <c r="P116" s="29" t="str">
        <f t="shared" si="11"/>
        <v>ORD1149</v>
      </c>
      <c r="Q116" s="29" t="str">
        <f t="shared" si="12"/>
        <v>Sagnik Roy</v>
      </c>
      <c r="R116" s="29" t="str">
        <f t="shared" si="13"/>
        <v>Notebook</v>
      </c>
      <c r="S116" s="29" t="str">
        <f t="shared" si="14"/>
        <v>Stationery</v>
      </c>
      <c r="T116" s="29" t="str">
        <f t="shared" si="15"/>
        <v>East</v>
      </c>
      <c r="U116" s="29" t="str">
        <f t="shared" si="16"/>
        <v>Rahul Das</v>
      </c>
      <c r="V116" s="29">
        <f t="shared" si="17"/>
        <v>28</v>
      </c>
      <c r="W116" s="29">
        <f t="shared" si="18"/>
        <v>102</v>
      </c>
      <c r="X116" s="29">
        <f t="shared" si="19"/>
        <v>2856</v>
      </c>
      <c r="Y116" s="29">
        <v>1380</v>
      </c>
      <c r="Z116" s="29">
        <f t="shared" si="20"/>
        <v>1476</v>
      </c>
      <c r="AA116" s="29">
        <v>3600</v>
      </c>
      <c r="AB116" s="29" t="s">
        <v>26</v>
      </c>
      <c r="AC116" s="29" t="str">
        <f t="shared" si="21"/>
        <v>Delivered</v>
      </c>
    </row>
    <row r="117" spans="1:29" x14ac:dyDescent="0.3">
      <c r="A117" s="1" t="s">
        <v>258</v>
      </c>
      <c r="B117" s="1" t="s">
        <v>259</v>
      </c>
      <c r="C117" s="1" t="s">
        <v>40</v>
      </c>
      <c r="D117" s="1" t="s">
        <v>16</v>
      </c>
      <c r="E117" s="1" t="s">
        <v>41</v>
      </c>
      <c r="F117" s="1" t="s">
        <v>42</v>
      </c>
      <c r="G117" s="1">
        <v>4</v>
      </c>
      <c r="H117" s="1">
        <v>6910</v>
      </c>
      <c r="I117" s="1">
        <v>27640</v>
      </c>
      <c r="J117" s="1">
        <v>20520</v>
      </c>
      <c r="K117" s="1">
        <v>7120</v>
      </c>
      <c r="L117" s="1">
        <v>30000</v>
      </c>
      <c r="M117" s="1" t="s">
        <v>28</v>
      </c>
      <c r="N117" s="1" t="s">
        <v>43</v>
      </c>
      <c r="P117" s="29" t="str">
        <f t="shared" si="11"/>
        <v>ORD1154</v>
      </c>
      <c r="Q117" s="29" t="str">
        <f t="shared" si="12"/>
        <v>Ishita Sen</v>
      </c>
      <c r="R117" s="29" t="str">
        <f t="shared" si="13"/>
        <v>Office Chair</v>
      </c>
      <c r="S117" s="29" t="str">
        <f t="shared" si="14"/>
        <v>Furniture</v>
      </c>
      <c r="T117" s="29" t="str">
        <f t="shared" si="15"/>
        <v>North</v>
      </c>
      <c r="U117" s="29" t="str">
        <f t="shared" si="16"/>
        <v>Sneha Roy</v>
      </c>
      <c r="V117" s="29">
        <f t="shared" si="17"/>
        <v>4</v>
      </c>
      <c r="W117" s="29">
        <f t="shared" si="18"/>
        <v>6910</v>
      </c>
      <c r="X117" s="29">
        <f t="shared" si="19"/>
        <v>27640</v>
      </c>
      <c r="Y117" s="29">
        <v>20520</v>
      </c>
      <c r="Z117" s="29">
        <f t="shared" si="20"/>
        <v>7120</v>
      </c>
      <c r="AA117" s="29">
        <v>30000</v>
      </c>
      <c r="AB117" s="29" t="s">
        <v>28</v>
      </c>
      <c r="AC117" s="29" t="str">
        <f t="shared" si="21"/>
        <v>Pending</v>
      </c>
    </row>
    <row r="118" spans="1:29" x14ac:dyDescent="0.3">
      <c r="A118" s="1" t="s">
        <v>260</v>
      </c>
      <c r="B118" s="1" t="s">
        <v>261</v>
      </c>
      <c r="C118" s="1" t="s">
        <v>88</v>
      </c>
      <c r="D118" s="1" t="s">
        <v>37</v>
      </c>
      <c r="E118" s="1" t="s">
        <v>24</v>
      </c>
      <c r="F118" s="1" t="s">
        <v>25</v>
      </c>
      <c r="G118" s="1">
        <v>2</v>
      </c>
      <c r="H118" s="1">
        <v>12320</v>
      </c>
      <c r="I118" s="1">
        <v>24640</v>
      </c>
      <c r="J118" s="1">
        <v>18920</v>
      </c>
      <c r="K118" s="1">
        <v>5720</v>
      </c>
      <c r="L118" s="1">
        <v>27000</v>
      </c>
      <c r="M118" s="1" t="s">
        <v>19</v>
      </c>
      <c r="N118" s="1" t="s">
        <v>20</v>
      </c>
      <c r="P118" s="29" t="str">
        <f t="shared" si="11"/>
        <v>ORD1177</v>
      </c>
      <c r="Q118" s="29" t="str">
        <f t="shared" si="12"/>
        <v>Ritwik Das</v>
      </c>
      <c r="R118" s="29" t="str">
        <f t="shared" si="13"/>
        <v>Monitor</v>
      </c>
      <c r="S118" s="29" t="str">
        <f t="shared" si="14"/>
        <v>Electronics</v>
      </c>
      <c r="T118" s="29" t="str">
        <f t="shared" si="15"/>
        <v>East</v>
      </c>
      <c r="U118" s="29" t="str">
        <f t="shared" si="16"/>
        <v>Rahul Das</v>
      </c>
      <c r="V118" s="29">
        <f t="shared" si="17"/>
        <v>2</v>
      </c>
      <c r="W118" s="29">
        <f t="shared" si="18"/>
        <v>12320</v>
      </c>
      <c r="X118" s="29">
        <f t="shared" si="19"/>
        <v>24640</v>
      </c>
      <c r="Y118" s="29">
        <v>18920</v>
      </c>
      <c r="Z118" s="29">
        <f t="shared" si="20"/>
        <v>5720</v>
      </c>
      <c r="AA118" s="29">
        <v>27000</v>
      </c>
      <c r="AB118" s="29" t="s">
        <v>19</v>
      </c>
      <c r="AC118" s="29" t="str">
        <f t="shared" si="21"/>
        <v>Delivered</v>
      </c>
    </row>
    <row r="119" spans="1:29" x14ac:dyDescent="0.3">
      <c r="A119" s="1" t="s">
        <v>262</v>
      </c>
      <c r="B119" s="1" t="s">
        <v>263</v>
      </c>
      <c r="C119" s="1" t="s">
        <v>56</v>
      </c>
      <c r="D119" s="1" t="s">
        <v>37</v>
      </c>
      <c r="E119" s="1" t="s">
        <v>24</v>
      </c>
      <c r="F119" s="1" t="s">
        <v>25</v>
      </c>
      <c r="G119" s="1">
        <v>2</v>
      </c>
      <c r="H119" s="1">
        <v>55000</v>
      </c>
      <c r="I119" s="1">
        <v>110000</v>
      </c>
      <c r="J119" s="1">
        <v>92000</v>
      </c>
      <c r="K119" s="1">
        <v>18000</v>
      </c>
      <c r="L119" s="1">
        <v>125000</v>
      </c>
      <c r="M119" s="1" t="s">
        <v>26</v>
      </c>
      <c r="N119" s="1" t="s">
        <v>20</v>
      </c>
      <c r="P119" s="29" t="str">
        <f t="shared" si="11"/>
        <v>ORD1001</v>
      </c>
      <c r="Q119" s="29" t="str">
        <f t="shared" si="12"/>
        <v>Aarav Sharma</v>
      </c>
      <c r="R119" s="29" t="str">
        <f t="shared" si="13"/>
        <v>Laptop</v>
      </c>
      <c r="S119" s="29" t="str">
        <f t="shared" si="14"/>
        <v>Electronics</v>
      </c>
      <c r="T119" s="29" t="str">
        <f t="shared" si="15"/>
        <v>East</v>
      </c>
      <c r="U119" s="29" t="str">
        <f t="shared" si="16"/>
        <v>Rahul Das</v>
      </c>
      <c r="V119" s="29">
        <f t="shared" si="17"/>
        <v>2</v>
      </c>
      <c r="W119" s="29">
        <f t="shared" si="18"/>
        <v>55000</v>
      </c>
      <c r="X119" s="29">
        <f t="shared" si="19"/>
        <v>110000</v>
      </c>
      <c r="Y119" s="29">
        <v>92000</v>
      </c>
      <c r="Z119" s="29">
        <f t="shared" si="20"/>
        <v>18000</v>
      </c>
      <c r="AA119" s="29">
        <v>125000</v>
      </c>
      <c r="AB119" s="29" t="s">
        <v>26</v>
      </c>
      <c r="AC119" s="29" t="str">
        <f t="shared" si="21"/>
        <v>Delivered</v>
      </c>
    </row>
    <row r="120" spans="1:29" x14ac:dyDescent="0.3">
      <c r="A120" s="1" t="s">
        <v>264</v>
      </c>
      <c r="B120" s="1" t="s">
        <v>265</v>
      </c>
      <c r="C120" s="1" t="s">
        <v>40</v>
      </c>
      <c r="D120" s="1" t="s">
        <v>16</v>
      </c>
      <c r="E120" s="1" t="s">
        <v>41</v>
      </c>
      <c r="F120" s="1" t="s">
        <v>42</v>
      </c>
      <c r="G120" s="1">
        <v>4</v>
      </c>
      <c r="H120" s="1">
        <v>6890</v>
      </c>
      <c r="I120" s="1">
        <v>27560</v>
      </c>
      <c r="J120" s="1">
        <v>20430</v>
      </c>
      <c r="K120" s="1">
        <v>7130</v>
      </c>
      <c r="L120" s="1">
        <v>30000</v>
      </c>
      <c r="M120" s="1" t="s">
        <v>28</v>
      </c>
      <c r="N120" s="1" t="s">
        <v>43</v>
      </c>
      <c r="P120" s="29" t="str">
        <f t="shared" si="11"/>
        <v>ORD1190</v>
      </c>
      <c r="Q120" s="29" t="str">
        <f t="shared" si="12"/>
        <v>Ankita Sharma</v>
      </c>
      <c r="R120" s="29" t="str">
        <f t="shared" si="13"/>
        <v>Office Chair</v>
      </c>
      <c r="S120" s="29" t="str">
        <f t="shared" si="14"/>
        <v>Furniture</v>
      </c>
      <c r="T120" s="29" t="str">
        <f t="shared" si="15"/>
        <v>North</v>
      </c>
      <c r="U120" s="29" t="str">
        <f t="shared" si="16"/>
        <v>Sneha Roy</v>
      </c>
      <c r="V120" s="29">
        <f t="shared" si="17"/>
        <v>4</v>
      </c>
      <c r="W120" s="29">
        <f t="shared" si="18"/>
        <v>6890</v>
      </c>
      <c r="X120" s="29">
        <f t="shared" si="19"/>
        <v>27560</v>
      </c>
      <c r="Y120" s="29">
        <v>20430</v>
      </c>
      <c r="Z120" s="29">
        <f t="shared" si="20"/>
        <v>7130</v>
      </c>
      <c r="AA120" s="29">
        <v>30000</v>
      </c>
      <c r="AB120" s="29" t="s">
        <v>28</v>
      </c>
      <c r="AC120" s="29" t="str">
        <f t="shared" si="21"/>
        <v>Pending</v>
      </c>
    </row>
    <row r="121" spans="1:29" x14ac:dyDescent="0.3">
      <c r="A121" s="1"/>
      <c r="B121" s="1" t="s">
        <v>113</v>
      </c>
      <c r="C121" s="1" t="s">
        <v>99</v>
      </c>
      <c r="D121" s="1" t="s">
        <v>23</v>
      </c>
      <c r="E121" s="1" t="s">
        <v>24</v>
      </c>
      <c r="F121" s="1" t="s">
        <v>25</v>
      </c>
      <c r="G121" s="1">
        <v>34</v>
      </c>
      <c r="H121" s="1">
        <v>100</v>
      </c>
      <c r="I121" s="1">
        <v>3400</v>
      </c>
      <c r="J121" s="1">
        <v>1550</v>
      </c>
      <c r="K121" s="1">
        <v>1850</v>
      </c>
      <c r="L121" s="1">
        <v>4200</v>
      </c>
      <c r="M121" s="1" t="s">
        <v>26</v>
      </c>
      <c r="N121" s="1" t="s">
        <v>20</v>
      </c>
      <c r="P121" s="29" t="str">
        <f t="shared" si="11"/>
        <v>GUEST USER</v>
      </c>
      <c r="Q121" s="29" t="str">
        <f t="shared" si="12"/>
        <v>Rohit Banerjee</v>
      </c>
      <c r="R121" s="29" t="str">
        <f t="shared" si="13"/>
        <v>Notebook</v>
      </c>
      <c r="S121" s="29" t="str">
        <f t="shared" si="14"/>
        <v>Stationery</v>
      </c>
      <c r="T121" s="29" t="str">
        <f t="shared" si="15"/>
        <v>East</v>
      </c>
      <c r="U121" s="29" t="str">
        <f t="shared" si="16"/>
        <v>Rahul Das</v>
      </c>
      <c r="V121" s="29">
        <f t="shared" si="17"/>
        <v>34</v>
      </c>
      <c r="W121" s="29">
        <f t="shared" si="18"/>
        <v>100</v>
      </c>
      <c r="X121" s="29">
        <f t="shared" si="19"/>
        <v>3400</v>
      </c>
      <c r="Y121" s="29">
        <v>1550</v>
      </c>
      <c r="Z121" s="29">
        <f t="shared" si="20"/>
        <v>1850</v>
      </c>
      <c r="AA121" s="29">
        <v>4200</v>
      </c>
      <c r="AB121" s="29" t="s">
        <v>26</v>
      </c>
      <c r="AC121" s="29" t="str">
        <f t="shared" si="21"/>
        <v>Delivered</v>
      </c>
    </row>
    <row r="122" spans="1:29" x14ac:dyDescent="0.3">
      <c r="A122" s="1" t="s">
        <v>266</v>
      </c>
      <c r="B122" s="1" t="s">
        <v>267</v>
      </c>
      <c r="C122" s="1" t="s">
        <v>47</v>
      </c>
      <c r="D122" s="1" t="s">
        <v>23</v>
      </c>
      <c r="E122" s="1" t="s">
        <v>17</v>
      </c>
      <c r="F122" s="1" t="s">
        <v>18</v>
      </c>
      <c r="G122" s="1">
        <v>20</v>
      </c>
      <c r="H122" s="1">
        <v>248</v>
      </c>
      <c r="I122" s="1">
        <v>4960</v>
      </c>
      <c r="J122" s="1">
        <v>2100</v>
      </c>
      <c r="K122" s="1">
        <v>2860</v>
      </c>
      <c r="L122" s="1">
        <v>5500</v>
      </c>
      <c r="M122" s="1" t="s">
        <v>26</v>
      </c>
      <c r="N122" s="1" t="s">
        <v>20</v>
      </c>
      <c r="P122" s="29" t="str">
        <f t="shared" si="11"/>
        <v>ORD1071</v>
      </c>
      <c r="Q122" s="29" t="str">
        <f t="shared" si="12"/>
        <v>Sumit Paul</v>
      </c>
      <c r="R122" s="29" t="str">
        <f t="shared" si="13"/>
        <v>Marker Set</v>
      </c>
      <c r="S122" s="29" t="str">
        <f t="shared" si="14"/>
        <v>Stationery</v>
      </c>
      <c r="T122" s="29" t="str">
        <f t="shared" si="15"/>
        <v>West</v>
      </c>
      <c r="U122" s="29" t="str">
        <f t="shared" si="16"/>
        <v>Amit Paul</v>
      </c>
      <c r="V122" s="29">
        <f t="shared" si="17"/>
        <v>20</v>
      </c>
      <c r="W122" s="29">
        <f t="shared" si="18"/>
        <v>248</v>
      </c>
      <c r="X122" s="29">
        <f t="shared" si="19"/>
        <v>4960</v>
      </c>
      <c r="Y122" s="29">
        <v>2100</v>
      </c>
      <c r="Z122" s="29">
        <f t="shared" si="20"/>
        <v>2860</v>
      </c>
      <c r="AA122" s="29">
        <v>5500</v>
      </c>
      <c r="AB122" s="29" t="s">
        <v>26</v>
      </c>
      <c r="AC122" s="29" t="str">
        <f t="shared" si="21"/>
        <v>Delivered</v>
      </c>
    </row>
    <row r="123" spans="1:29" x14ac:dyDescent="0.3">
      <c r="A123" s="1" t="s">
        <v>268</v>
      </c>
      <c r="B123" s="1" t="s">
        <v>269</v>
      </c>
      <c r="C123" s="1" t="s">
        <v>22</v>
      </c>
      <c r="D123" s="1" t="s">
        <v>23</v>
      </c>
      <c r="E123" s="1" t="s">
        <v>30</v>
      </c>
      <c r="F123" s="1" t="s">
        <v>31</v>
      </c>
      <c r="G123" s="1">
        <v>28</v>
      </c>
      <c r="H123" s="1">
        <v>151</v>
      </c>
      <c r="I123" s="1">
        <v>4228</v>
      </c>
      <c r="J123" s="1">
        <v>1760</v>
      </c>
      <c r="K123" s="1">
        <v>2468</v>
      </c>
      <c r="L123" s="1">
        <v>4900</v>
      </c>
      <c r="M123" s="1" t="s">
        <v>26</v>
      </c>
      <c r="N123" s="1" t="s">
        <v>20</v>
      </c>
      <c r="P123" s="29" t="str">
        <f t="shared" si="11"/>
        <v>ORD1164</v>
      </c>
      <c r="Q123" s="29" t="str">
        <f t="shared" si="12"/>
        <v>Poulomi Das</v>
      </c>
      <c r="R123" s="29" t="str">
        <f t="shared" si="13"/>
        <v>Pen Pack</v>
      </c>
      <c r="S123" s="29" t="str">
        <f t="shared" si="14"/>
        <v>Stationery</v>
      </c>
      <c r="T123" s="29" t="str">
        <f t="shared" si="15"/>
        <v>South</v>
      </c>
      <c r="U123" s="29" t="str">
        <f t="shared" si="16"/>
        <v>Pooja Dey</v>
      </c>
      <c r="V123" s="29">
        <f t="shared" si="17"/>
        <v>28</v>
      </c>
      <c r="W123" s="29">
        <f t="shared" si="18"/>
        <v>151</v>
      </c>
      <c r="X123" s="29">
        <f t="shared" si="19"/>
        <v>4228</v>
      </c>
      <c r="Y123" s="29">
        <v>1760</v>
      </c>
      <c r="Z123" s="29">
        <f t="shared" si="20"/>
        <v>2468</v>
      </c>
      <c r="AA123" s="29">
        <v>4900</v>
      </c>
      <c r="AB123" s="29" t="s">
        <v>26</v>
      </c>
      <c r="AC123" s="29" t="str">
        <f t="shared" si="21"/>
        <v>Delivered</v>
      </c>
    </row>
    <row r="124" spans="1:29" x14ac:dyDescent="0.3">
      <c r="A124" s="1" t="s">
        <v>270</v>
      </c>
      <c r="B124" s="1" t="s">
        <v>271</v>
      </c>
      <c r="C124" s="1" t="s">
        <v>22</v>
      </c>
      <c r="D124" s="1" t="s">
        <v>23</v>
      </c>
      <c r="E124" s="1" t="s">
        <v>24</v>
      </c>
      <c r="F124" s="1" t="s">
        <v>25</v>
      </c>
      <c r="G124" s="1">
        <v>25</v>
      </c>
      <c r="H124" s="1">
        <v>152</v>
      </c>
      <c r="I124" s="1">
        <v>3800</v>
      </c>
      <c r="J124" s="1">
        <v>1550</v>
      </c>
      <c r="K124" s="1">
        <v>2250</v>
      </c>
      <c r="L124" s="1">
        <v>4300</v>
      </c>
      <c r="M124" s="1" t="s">
        <v>26</v>
      </c>
      <c r="N124" s="1" t="s">
        <v>20</v>
      </c>
      <c r="P124" s="29" t="str">
        <f t="shared" si="11"/>
        <v>ORD1065</v>
      </c>
      <c r="Q124" s="29" t="str">
        <f t="shared" si="12"/>
        <v>Debojyoti Das</v>
      </c>
      <c r="R124" s="29" t="str">
        <f t="shared" si="13"/>
        <v>Pen Pack</v>
      </c>
      <c r="S124" s="29" t="str">
        <f t="shared" si="14"/>
        <v>Stationery</v>
      </c>
      <c r="T124" s="29" t="str">
        <f t="shared" si="15"/>
        <v>East</v>
      </c>
      <c r="U124" s="29" t="str">
        <f t="shared" si="16"/>
        <v>Rahul Das</v>
      </c>
      <c r="V124" s="29">
        <f t="shared" si="17"/>
        <v>25</v>
      </c>
      <c r="W124" s="29">
        <f t="shared" si="18"/>
        <v>152</v>
      </c>
      <c r="X124" s="29">
        <f t="shared" si="19"/>
        <v>3800</v>
      </c>
      <c r="Y124" s="29">
        <v>1550</v>
      </c>
      <c r="Z124" s="29">
        <f t="shared" si="20"/>
        <v>2250</v>
      </c>
      <c r="AA124" s="29">
        <v>4300</v>
      </c>
      <c r="AB124" s="29" t="s">
        <v>26</v>
      </c>
      <c r="AC124" s="29" t="str">
        <f t="shared" si="21"/>
        <v>Delivered</v>
      </c>
    </row>
    <row r="125" spans="1:29" x14ac:dyDescent="0.3">
      <c r="A125" s="1" t="s">
        <v>272</v>
      </c>
      <c r="B125" s="1" t="s">
        <v>273</v>
      </c>
      <c r="C125" s="1" t="s">
        <v>56</v>
      </c>
      <c r="D125" s="1" t="s">
        <v>37</v>
      </c>
      <c r="E125" s="1" t="s">
        <v>24</v>
      </c>
      <c r="F125" s="1" t="s">
        <v>25</v>
      </c>
      <c r="G125" s="1">
        <v>1</v>
      </c>
      <c r="H125" s="1">
        <v>57500</v>
      </c>
      <c r="I125" s="1">
        <v>57500</v>
      </c>
      <c r="J125" s="1">
        <v>46000</v>
      </c>
      <c r="K125" s="1">
        <v>11500</v>
      </c>
      <c r="L125" s="1">
        <v>65000</v>
      </c>
      <c r="M125" s="1" t="s">
        <v>19</v>
      </c>
      <c r="N125" s="1" t="s">
        <v>20</v>
      </c>
      <c r="P125" s="29" t="str">
        <f t="shared" si="11"/>
        <v>ORD1045</v>
      </c>
      <c r="Q125" s="29" t="str">
        <f t="shared" si="12"/>
        <v>Ayan Mukherjee</v>
      </c>
      <c r="R125" s="29" t="str">
        <f t="shared" si="13"/>
        <v>Laptop</v>
      </c>
      <c r="S125" s="29" t="str">
        <f t="shared" si="14"/>
        <v>Electronics</v>
      </c>
      <c r="T125" s="29" t="str">
        <f t="shared" si="15"/>
        <v>East</v>
      </c>
      <c r="U125" s="29" t="str">
        <f t="shared" si="16"/>
        <v>Rahul Das</v>
      </c>
      <c r="V125" s="29">
        <f t="shared" si="17"/>
        <v>1</v>
      </c>
      <c r="W125" s="29">
        <f t="shared" si="18"/>
        <v>57500</v>
      </c>
      <c r="X125" s="29">
        <f t="shared" si="19"/>
        <v>57500</v>
      </c>
      <c r="Y125" s="29">
        <v>46000</v>
      </c>
      <c r="Z125" s="29">
        <f t="shared" si="20"/>
        <v>11500</v>
      </c>
      <c r="AA125" s="29">
        <v>65000</v>
      </c>
      <c r="AB125" s="29" t="s">
        <v>19</v>
      </c>
      <c r="AC125" s="29" t="str">
        <f t="shared" si="21"/>
        <v>Delivered</v>
      </c>
    </row>
    <row r="126" spans="1:29" x14ac:dyDescent="0.3">
      <c r="A126" s="1" t="s">
        <v>274</v>
      </c>
      <c r="B126" s="1" t="s">
        <v>275</v>
      </c>
      <c r="C126" s="1" t="s">
        <v>36</v>
      </c>
      <c r="D126" s="1" t="s">
        <v>37</v>
      </c>
      <c r="E126" s="1" t="s">
        <v>41</v>
      </c>
      <c r="F126" s="1" t="s">
        <v>42</v>
      </c>
      <c r="G126" s="1">
        <v>2</v>
      </c>
      <c r="H126" s="1">
        <v>15310</v>
      </c>
      <c r="I126" s="1">
        <v>30620</v>
      </c>
      <c r="J126" s="1">
        <v>23820</v>
      </c>
      <c r="K126" s="1">
        <v>6800</v>
      </c>
      <c r="L126" s="1">
        <v>34500</v>
      </c>
      <c r="M126" s="1" t="s">
        <v>19</v>
      </c>
      <c r="N126" s="1" t="s">
        <v>20</v>
      </c>
      <c r="P126" s="29" t="str">
        <f t="shared" si="11"/>
        <v>ORD1138</v>
      </c>
      <c r="Q126" s="29" t="str">
        <f t="shared" si="12"/>
        <v>Tanisha Gupta</v>
      </c>
      <c r="R126" s="29" t="str">
        <f t="shared" si="13"/>
        <v>Printer</v>
      </c>
      <c r="S126" s="29" t="str">
        <f t="shared" si="14"/>
        <v>Electronics</v>
      </c>
      <c r="T126" s="29" t="str">
        <f t="shared" si="15"/>
        <v>North</v>
      </c>
      <c r="U126" s="29" t="str">
        <f t="shared" si="16"/>
        <v>Sneha Roy</v>
      </c>
      <c r="V126" s="29">
        <f t="shared" si="17"/>
        <v>2</v>
      </c>
      <c r="W126" s="29">
        <f t="shared" si="18"/>
        <v>15310</v>
      </c>
      <c r="X126" s="29">
        <f t="shared" si="19"/>
        <v>30620</v>
      </c>
      <c r="Y126" s="29">
        <v>23820</v>
      </c>
      <c r="Z126" s="29">
        <f t="shared" si="20"/>
        <v>6800</v>
      </c>
      <c r="AA126" s="29">
        <v>34500</v>
      </c>
      <c r="AB126" s="29" t="s">
        <v>19</v>
      </c>
      <c r="AC126" s="29" t="str">
        <f t="shared" si="21"/>
        <v>Delivered</v>
      </c>
    </row>
    <row r="127" spans="1:29" x14ac:dyDescent="0.3">
      <c r="A127" s="1" t="s">
        <v>276</v>
      </c>
      <c r="B127" s="1" t="s">
        <v>277</v>
      </c>
      <c r="C127" s="1" t="s">
        <v>99</v>
      </c>
      <c r="D127" s="1" t="s">
        <v>23</v>
      </c>
      <c r="E127" s="1" t="s">
        <v>24</v>
      </c>
      <c r="F127" s="1" t="s">
        <v>25</v>
      </c>
      <c r="G127" s="1">
        <v>18</v>
      </c>
      <c r="H127" s="1">
        <v>105</v>
      </c>
      <c r="I127" s="1">
        <v>1890</v>
      </c>
      <c r="J127" s="1">
        <v>900</v>
      </c>
      <c r="K127" s="1">
        <v>990</v>
      </c>
      <c r="L127" s="1">
        <v>2500</v>
      </c>
      <c r="M127" s="1" t="s">
        <v>26</v>
      </c>
      <c r="N127" s="1" t="s">
        <v>20</v>
      </c>
      <c r="P127" s="29" t="str">
        <f t="shared" si="11"/>
        <v>ORD1041</v>
      </c>
      <c r="Q127" s="29" t="str">
        <f t="shared" si="12"/>
        <v>Abir Choudhury</v>
      </c>
      <c r="R127" s="29" t="str">
        <f t="shared" si="13"/>
        <v>Notebook</v>
      </c>
      <c r="S127" s="29" t="str">
        <f t="shared" si="14"/>
        <v>Stationery</v>
      </c>
      <c r="T127" s="29" t="str">
        <f t="shared" si="15"/>
        <v>East</v>
      </c>
      <c r="U127" s="29" t="str">
        <f t="shared" si="16"/>
        <v>Rahul Das</v>
      </c>
      <c r="V127" s="29">
        <f t="shared" si="17"/>
        <v>18</v>
      </c>
      <c r="W127" s="29">
        <f t="shared" si="18"/>
        <v>105</v>
      </c>
      <c r="X127" s="29">
        <f t="shared" si="19"/>
        <v>1890</v>
      </c>
      <c r="Y127" s="29">
        <v>900</v>
      </c>
      <c r="Z127" s="29">
        <f t="shared" si="20"/>
        <v>990</v>
      </c>
      <c r="AA127" s="29">
        <v>2500</v>
      </c>
      <c r="AB127" s="29" t="s">
        <v>26</v>
      </c>
      <c r="AC127" s="29" t="str">
        <f t="shared" si="21"/>
        <v>Delivered</v>
      </c>
    </row>
    <row r="128" spans="1:29" x14ac:dyDescent="0.3">
      <c r="A128" s="1" t="s">
        <v>278</v>
      </c>
      <c r="B128" s="1" t="s">
        <v>279</v>
      </c>
      <c r="C128" s="1" t="s">
        <v>33</v>
      </c>
      <c r="D128" s="1"/>
      <c r="E128" s="1" t="s">
        <v>30</v>
      </c>
      <c r="F128" s="1" t="s">
        <v>31</v>
      </c>
      <c r="G128" s="1">
        <v>1</v>
      </c>
      <c r="H128" s="1">
        <v>11420</v>
      </c>
      <c r="I128" s="1">
        <v>11420</v>
      </c>
      <c r="J128" s="1">
        <v>8650</v>
      </c>
      <c r="K128" s="1">
        <v>2770</v>
      </c>
      <c r="L128" s="1">
        <v>13500</v>
      </c>
      <c r="M128" s="1" t="s">
        <v>28</v>
      </c>
      <c r="N128" s="1" t="s">
        <v>20</v>
      </c>
      <c r="P128" s="29" t="str">
        <f t="shared" si="11"/>
        <v>ORD1124</v>
      </c>
      <c r="Q128" s="29" t="str">
        <f t="shared" si="12"/>
        <v>Neha Banerjee</v>
      </c>
      <c r="R128" s="29" t="str">
        <f t="shared" si="13"/>
        <v>Bookshelf</v>
      </c>
      <c r="S128" s="29" t="str">
        <f t="shared" si="14"/>
        <v>UNKNOWN</v>
      </c>
      <c r="T128" s="29" t="str">
        <f t="shared" si="15"/>
        <v>South</v>
      </c>
      <c r="U128" s="29" t="str">
        <f t="shared" si="16"/>
        <v>Pooja Dey</v>
      </c>
      <c r="V128" s="29">
        <f t="shared" si="17"/>
        <v>1</v>
      </c>
      <c r="W128" s="29">
        <f t="shared" si="18"/>
        <v>11420</v>
      </c>
      <c r="X128" s="29">
        <f t="shared" si="19"/>
        <v>11420</v>
      </c>
      <c r="Y128" s="29">
        <v>8650</v>
      </c>
      <c r="Z128" s="29">
        <f t="shared" si="20"/>
        <v>2770</v>
      </c>
      <c r="AA128" s="29">
        <v>13500</v>
      </c>
      <c r="AB128" s="29" t="s">
        <v>28</v>
      </c>
      <c r="AC128" s="29" t="str">
        <f t="shared" si="21"/>
        <v>Delivered</v>
      </c>
    </row>
    <row r="129" spans="1:29" x14ac:dyDescent="0.3">
      <c r="A129" s="1" t="s">
        <v>280</v>
      </c>
      <c r="B129" s="1" t="s">
        <v>281</v>
      </c>
      <c r="C129" s="1" t="s">
        <v>88</v>
      </c>
      <c r="D129" s="1" t="s">
        <v>37</v>
      </c>
      <c r="E129" s="1" t="s">
        <v>30</v>
      </c>
      <c r="F129" s="1" t="s">
        <v>31</v>
      </c>
      <c r="G129" s="1">
        <v>1</v>
      </c>
      <c r="H129" s="1">
        <v>11800</v>
      </c>
      <c r="I129" s="1">
        <v>11800</v>
      </c>
      <c r="J129" s="1">
        <v>9100</v>
      </c>
      <c r="K129" s="1">
        <v>2700</v>
      </c>
      <c r="L129" s="1">
        <v>14000</v>
      </c>
      <c r="M129" s="1" t="s">
        <v>26</v>
      </c>
      <c r="N129" s="1" t="s">
        <v>20</v>
      </c>
      <c r="P129" s="29" t="str">
        <f t="shared" si="11"/>
        <v>ORD1024</v>
      </c>
      <c r="Q129" s="29" t="str">
        <f t="shared" si="12"/>
        <v>Kriti Jain</v>
      </c>
      <c r="R129" s="29" t="str">
        <f t="shared" si="13"/>
        <v>Monitor</v>
      </c>
      <c r="S129" s="29" t="str">
        <f t="shared" si="14"/>
        <v>Electronics</v>
      </c>
      <c r="T129" s="29" t="str">
        <f t="shared" si="15"/>
        <v>South</v>
      </c>
      <c r="U129" s="29" t="str">
        <f t="shared" si="16"/>
        <v>Pooja Dey</v>
      </c>
      <c r="V129" s="29">
        <f t="shared" si="17"/>
        <v>1</v>
      </c>
      <c r="W129" s="29">
        <f t="shared" si="18"/>
        <v>11800</v>
      </c>
      <c r="X129" s="29">
        <f t="shared" si="19"/>
        <v>11800</v>
      </c>
      <c r="Y129" s="29">
        <v>9100</v>
      </c>
      <c r="Z129" s="29">
        <f t="shared" si="20"/>
        <v>2700</v>
      </c>
      <c r="AA129" s="29">
        <v>14000</v>
      </c>
      <c r="AB129" s="29" t="s">
        <v>26</v>
      </c>
      <c r="AC129" s="29" t="str">
        <f t="shared" si="21"/>
        <v>Delivered</v>
      </c>
    </row>
    <row r="130" spans="1:29" x14ac:dyDescent="0.3">
      <c r="A130" s="1" t="s">
        <v>282</v>
      </c>
      <c r="B130" s="1" t="s">
        <v>283</v>
      </c>
      <c r="C130" s="1" t="s">
        <v>22</v>
      </c>
      <c r="D130" s="1" t="s">
        <v>23</v>
      </c>
      <c r="E130" s="1" t="s">
        <v>17</v>
      </c>
      <c r="F130" s="1" t="s">
        <v>18</v>
      </c>
      <c r="G130" s="1">
        <v>25</v>
      </c>
      <c r="H130" s="1">
        <v>149</v>
      </c>
      <c r="I130" s="1">
        <v>3725</v>
      </c>
      <c r="J130" s="1">
        <v>1500</v>
      </c>
      <c r="K130" s="1">
        <v>2225</v>
      </c>
      <c r="L130" s="1">
        <v>4300</v>
      </c>
      <c r="M130" s="1" t="s">
        <v>26</v>
      </c>
      <c r="N130" s="1" t="s">
        <v>20</v>
      </c>
      <c r="P130" s="29" t="str">
        <f t="shared" si="11"/>
        <v>ORD1155</v>
      </c>
      <c r="Q130" s="29" t="str">
        <f t="shared" si="12"/>
        <v>Debayan Roy</v>
      </c>
      <c r="R130" s="29" t="str">
        <f t="shared" si="13"/>
        <v>Pen Pack</v>
      </c>
      <c r="S130" s="29" t="str">
        <f t="shared" si="14"/>
        <v>Stationery</v>
      </c>
      <c r="T130" s="29" t="str">
        <f t="shared" si="15"/>
        <v>West</v>
      </c>
      <c r="U130" s="29" t="str">
        <f t="shared" si="16"/>
        <v>Amit Paul</v>
      </c>
      <c r="V130" s="29">
        <f t="shared" si="17"/>
        <v>25</v>
      </c>
      <c r="W130" s="29">
        <f t="shared" si="18"/>
        <v>149</v>
      </c>
      <c r="X130" s="29">
        <f t="shared" si="19"/>
        <v>3725</v>
      </c>
      <c r="Y130" s="29">
        <v>1500</v>
      </c>
      <c r="Z130" s="29">
        <f t="shared" si="20"/>
        <v>2225</v>
      </c>
      <c r="AA130" s="29">
        <v>4300</v>
      </c>
      <c r="AB130" s="29" t="s">
        <v>26</v>
      </c>
      <c r="AC130" s="29" t="str">
        <f t="shared" si="21"/>
        <v>Delivered</v>
      </c>
    </row>
    <row r="131" spans="1:29" x14ac:dyDescent="0.3">
      <c r="A131" s="1" t="s">
        <v>284</v>
      </c>
      <c r="B131" s="1" t="s">
        <v>285</v>
      </c>
      <c r="C131" s="1" t="s">
        <v>40</v>
      </c>
      <c r="D131" s="1" t="s">
        <v>16</v>
      </c>
      <c r="E131" s="1" t="s">
        <v>41</v>
      </c>
      <c r="F131" s="1" t="s">
        <v>42</v>
      </c>
      <c r="G131" s="1">
        <v>4</v>
      </c>
      <c r="H131" s="1">
        <v>6950</v>
      </c>
      <c r="I131" s="1">
        <v>27800</v>
      </c>
      <c r="J131" s="1">
        <v>20600</v>
      </c>
      <c r="K131" s="1">
        <v>7200</v>
      </c>
      <c r="L131" s="1">
        <v>30000</v>
      </c>
      <c r="M131" s="1" t="s">
        <v>28</v>
      </c>
      <c r="N131" s="1" t="s">
        <v>43</v>
      </c>
      <c r="P131" s="29" t="str">
        <f t="shared" ref="P131:P194" si="22">IF(COUNTBLANK(A131)=0,A131,"GUEST USER")</f>
        <v>ORD1082</v>
      </c>
      <c r="Q131" s="29" t="str">
        <f t="shared" ref="Q131:Q194" si="23">IF(COUNTBLANK(B131)=0,B131,"UNKNOWN")</f>
        <v>Trina Mukherjee</v>
      </c>
      <c r="R131" s="29" t="str">
        <f t="shared" ref="R131:R194" si="24">IF(COUNTBLANK(C131)=0,C131,"UNKNOWN")</f>
        <v>Office Chair</v>
      </c>
      <c r="S131" s="29" t="str">
        <f t="shared" ref="S131:S194" si="25">IF(COUNTBLANK(D131)=0,D131,"UNKNOWN")</f>
        <v>Furniture</v>
      </c>
      <c r="T131" s="29" t="str">
        <f t="shared" ref="T131:T194" si="26">IF(COUNTBLANK(E131)=0,E131,"UNKNOWN")</f>
        <v>North</v>
      </c>
      <c r="U131" s="29" t="str">
        <f t="shared" ref="U131:U194" si="27">IF(COUNTBLANK(F131)=0,F131,"SOMEONE")</f>
        <v>Sneha Roy</v>
      </c>
      <c r="V131" s="29">
        <f t="shared" ref="V131:V194" si="28">IF(COUNTBLANK(G131)=0,G131,0)</f>
        <v>4</v>
      </c>
      <c r="W131" s="29">
        <f t="shared" ref="W131:W194" si="29">IF(COUNTBLANK(H131)=0,H131,0)</f>
        <v>6950</v>
      </c>
      <c r="X131" s="29">
        <f t="shared" ref="X131:X194" si="30">H131*G131</f>
        <v>27800</v>
      </c>
      <c r="Y131" s="29">
        <v>20600</v>
      </c>
      <c r="Z131" s="29">
        <f t="shared" ref="Z131:Z194" si="31">X131-Y131</f>
        <v>7200</v>
      </c>
      <c r="AA131" s="29">
        <v>30000</v>
      </c>
      <c r="AB131" s="29" t="s">
        <v>28</v>
      </c>
      <c r="AC131" s="29" t="str">
        <f t="shared" ref="AC131:AC194" si="32">IF(COUNTBLANK(N131)=0,N131,"Processing")</f>
        <v>Pending</v>
      </c>
    </row>
    <row r="132" spans="1:29" x14ac:dyDescent="0.3">
      <c r="A132" s="1" t="s">
        <v>286</v>
      </c>
      <c r="B132" s="1" t="s">
        <v>287</v>
      </c>
      <c r="C132" s="1" t="s">
        <v>15</v>
      </c>
      <c r="D132" s="1" t="s">
        <v>16</v>
      </c>
      <c r="E132" s="1" t="s">
        <v>30</v>
      </c>
      <c r="F132" s="1" t="s">
        <v>31</v>
      </c>
      <c r="G132" s="1">
        <v>3</v>
      </c>
      <c r="H132" s="1">
        <v>9100</v>
      </c>
      <c r="I132" s="1">
        <v>27300</v>
      </c>
      <c r="J132" s="1">
        <v>20100</v>
      </c>
      <c r="K132" s="1">
        <v>7200</v>
      </c>
      <c r="L132" s="1">
        <v>30000</v>
      </c>
      <c r="M132" s="1" t="s">
        <v>19</v>
      </c>
      <c r="N132" s="1" t="s">
        <v>20</v>
      </c>
      <c r="P132" s="29" t="str">
        <f t="shared" si="22"/>
        <v>ORD1040</v>
      </c>
      <c r="Q132" s="29" t="str">
        <f t="shared" si="23"/>
        <v>Shreya Banik</v>
      </c>
      <c r="R132" s="29" t="str">
        <f t="shared" si="24"/>
        <v>Desk</v>
      </c>
      <c r="S132" s="29" t="str">
        <f t="shared" si="25"/>
        <v>Furniture</v>
      </c>
      <c r="T132" s="29" t="str">
        <f t="shared" si="26"/>
        <v>South</v>
      </c>
      <c r="U132" s="29" t="str">
        <f t="shared" si="27"/>
        <v>Pooja Dey</v>
      </c>
      <c r="V132" s="29">
        <f t="shared" si="28"/>
        <v>3</v>
      </c>
      <c r="W132" s="29">
        <f t="shared" si="29"/>
        <v>9100</v>
      </c>
      <c r="X132" s="29">
        <f t="shared" si="30"/>
        <v>27300</v>
      </c>
      <c r="Y132" s="29">
        <v>20100</v>
      </c>
      <c r="Z132" s="29">
        <f t="shared" si="31"/>
        <v>7200</v>
      </c>
      <c r="AA132" s="29">
        <v>30000</v>
      </c>
      <c r="AB132" s="29" t="s">
        <v>19</v>
      </c>
      <c r="AC132" s="29" t="str">
        <f t="shared" si="32"/>
        <v>Delivered</v>
      </c>
    </row>
    <row r="133" spans="1:29" x14ac:dyDescent="0.3">
      <c r="A133" s="1" t="s">
        <v>288</v>
      </c>
      <c r="B133" s="1" t="s">
        <v>289</v>
      </c>
      <c r="C133" s="1" t="s">
        <v>33</v>
      </c>
      <c r="D133" s="1" t="s">
        <v>16</v>
      </c>
      <c r="E133" s="1" t="s">
        <v>41</v>
      </c>
      <c r="F133" s="1" t="s">
        <v>42</v>
      </c>
      <c r="G133" s="1">
        <v>2</v>
      </c>
      <c r="H133" s="1">
        <v>11270</v>
      </c>
      <c r="I133" s="1">
        <v>22540</v>
      </c>
      <c r="J133" s="1">
        <v>17120</v>
      </c>
      <c r="K133" s="1">
        <v>5420</v>
      </c>
      <c r="L133" s="1">
        <v>25000</v>
      </c>
      <c r="M133" s="1" t="s">
        <v>28</v>
      </c>
      <c r="N133" s="1" t="s">
        <v>20</v>
      </c>
      <c r="P133" s="29" t="str">
        <f t="shared" si="22"/>
        <v>ORD1178</v>
      </c>
      <c r="Q133" s="29" t="str">
        <f t="shared" si="23"/>
        <v>Nikita Roy</v>
      </c>
      <c r="R133" s="29" t="str">
        <f t="shared" si="24"/>
        <v>Bookshelf</v>
      </c>
      <c r="S133" s="29" t="str">
        <f t="shared" si="25"/>
        <v>Furniture</v>
      </c>
      <c r="T133" s="29" t="str">
        <f t="shared" si="26"/>
        <v>North</v>
      </c>
      <c r="U133" s="29" t="str">
        <f t="shared" si="27"/>
        <v>Sneha Roy</v>
      </c>
      <c r="V133" s="29">
        <f t="shared" si="28"/>
        <v>2</v>
      </c>
      <c r="W133" s="29">
        <f t="shared" si="29"/>
        <v>11270</v>
      </c>
      <c r="X133" s="29">
        <f t="shared" si="30"/>
        <v>22540</v>
      </c>
      <c r="Y133" s="29">
        <v>17120</v>
      </c>
      <c r="Z133" s="29">
        <f t="shared" si="31"/>
        <v>5420</v>
      </c>
      <c r="AA133" s="29">
        <v>25000</v>
      </c>
      <c r="AB133" s="29" t="s">
        <v>28</v>
      </c>
      <c r="AC133" s="29" t="str">
        <f t="shared" si="32"/>
        <v>Delivered</v>
      </c>
    </row>
    <row r="134" spans="1:29" x14ac:dyDescent="0.3">
      <c r="A134" s="2"/>
      <c r="B134" s="1" t="s">
        <v>290</v>
      </c>
      <c r="C134" s="1" t="s">
        <v>36</v>
      </c>
      <c r="D134" s="1" t="s">
        <v>37</v>
      </c>
      <c r="E134" s="1" t="s">
        <v>30</v>
      </c>
      <c r="F134" s="1" t="s">
        <v>31</v>
      </c>
      <c r="G134" s="1">
        <v>2</v>
      </c>
      <c r="H134" s="1">
        <v>15100</v>
      </c>
      <c r="I134" s="1">
        <v>30200</v>
      </c>
      <c r="J134" s="1">
        <v>23400</v>
      </c>
      <c r="K134" s="1">
        <v>6800</v>
      </c>
      <c r="L134" s="1">
        <v>34000</v>
      </c>
      <c r="M134" s="1" t="s">
        <v>19</v>
      </c>
      <c r="N134" s="1" t="s">
        <v>20</v>
      </c>
      <c r="P134" s="29" t="str">
        <f t="shared" si="22"/>
        <v>GUEST USER</v>
      </c>
      <c r="Q134" s="29" t="str">
        <f t="shared" si="23"/>
        <v>Suhani Ghosh</v>
      </c>
      <c r="R134" s="29" t="str">
        <f t="shared" si="24"/>
        <v>Printer</v>
      </c>
      <c r="S134" s="29" t="str">
        <f t="shared" si="25"/>
        <v>Electronics</v>
      </c>
      <c r="T134" s="29" t="str">
        <f t="shared" si="26"/>
        <v>South</v>
      </c>
      <c r="U134" s="29" t="str">
        <f t="shared" si="27"/>
        <v>Pooja Dey</v>
      </c>
      <c r="V134" s="29">
        <f t="shared" si="28"/>
        <v>2</v>
      </c>
      <c r="W134" s="29">
        <f t="shared" si="29"/>
        <v>15100</v>
      </c>
      <c r="X134" s="29">
        <f t="shared" si="30"/>
        <v>30200</v>
      </c>
      <c r="Y134" s="29">
        <v>23400</v>
      </c>
      <c r="Z134" s="29">
        <f t="shared" si="31"/>
        <v>6800</v>
      </c>
      <c r="AA134" s="29">
        <v>34000</v>
      </c>
      <c r="AB134" s="29" t="s">
        <v>19</v>
      </c>
      <c r="AC134" s="29" t="str">
        <f t="shared" si="32"/>
        <v>Delivered</v>
      </c>
    </row>
    <row r="135" spans="1:29" x14ac:dyDescent="0.3">
      <c r="A135" s="1" t="s">
        <v>291</v>
      </c>
      <c r="B135" s="1" t="s">
        <v>292</v>
      </c>
      <c r="C135" s="1" t="s">
        <v>99</v>
      </c>
      <c r="D135" s="1" t="s">
        <v>23</v>
      </c>
      <c r="E135" s="1" t="s">
        <v>17</v>
      </c>
      <c r="F135" s="1" t="s">
        <v>18</v>
      </c>
      <c r="G135" s="1">
        <v>34</v>
      </c>
      <c r="H135" s="1">
        <v>99</v>
      </c>
      <c r="I135" s="1">
        <v>3366</v>
      </c>
      <c r="J135" s="1">
        <v>1550</v>
      </c>
      <c r="K135" s="1">
        <v>1816</v>
      </c>
      <c r="L135" s="1">
        <v>4200</v>
      </c>
      <c r="M135" s="1" t="s">
        <v>26</v>
      </c>
      <c r="N135" s="1" t="s">
        <v>20</v>
      </c>
      <c r="P135" s="29" t="str">
        <f t="shared" si="22"/>
        <v>ORD1095</v>
      </c>
      <c r="Q135" s="29" t="str">
        <f t="shared" si="23"/>
        <v>Tanmay Das</v>
      </c>
      <c r="R135" s="29" t="str">
        <f t="shared" si="24"/>
        <v>Notebook</v>
      </c>
      <c r="S135" s="29" t="str">
        <f t="shared" si="25"/>
        <v>Stationery</v>
      </c>
      <c r="T135" s="29" t="str">
        <f t="shared" si="26"/>
        <v>West</v>
      </c>
      <c r="U135" s="29" t="str">
        <f t="shared" si="27"/>
        <v>Amit Paul</v>
      </c>
      <c r="V135" s="29">
        <f t="shared" si="28"/>
        <v>34</v>
      </c>
      <c r="W135" s="29">
        <f t="shared" si="29"/>
        <v>99</v>
      </c>
      <c r="X135" s="29">
        <f t="shared" si="30"/>
        <v>3366</v>
      </c>
      <c r="Y135" s="29">
        <v>1550</v>
      </c>
      <c r="Z135" s="29">
        <f t="shared" si="31"/>
        <v>1816</v>
      </c>
      <c r="AA135" s="29">
        <v>4200</v>
      </c>
      <c r="AB135" s="29" t="s">
        <v>26</v>
      </c>
      <c r="AC135" s="29" t="str">
        <f t="shared" si="32"/>
        <v>Delivered</v>
      </c>
    </row>
    <row r="136" spans="1:29" x14ac:dyDescent="0.3">
      <c r="A136" s="1" t="s">
        <v>293</v>
      </c>
      <c r="B136" s="1" t="s">
        <v>294</v>
      </c>
      <c r="C136" s="1" t="s">
        <v>56</v>
      </c>
      <c r="D136" s="1" t="s">
        <v>37</v>
      </c>
      <c r="E136" s="1" t="s">
        <v>41</v>
      </c>
      <c r="F136" s="1" t="s">
        <v>42</v>
      </c>
      <c r="G136" s="1">
        <v>2</v>
      </c>
      <c r="H136" s="1">
        <v>57200</v>
      </c>
      <c r="I136" s="1">
        <v>114400</v>
      </c>
      <c r="J136" s="1">
        <v>94900</v>
      </c>
      <c r="K136" s="1">
        <v>19500</v>
      </c>
      <c r="L136" s="1">
        <v>126000</v>
      </c>
      <c r="M136" s="1" t="s">
        <v>19</v>
      </c>
      <c r="N136" s="1" t="s">
        <v>20</v>
      </c>
      <c r="P136" s="29" t="str">
        <f t="shared" si="22"/>
        <v>ORD1162</v>
      </c>
      <c r="Q136" s="29" t="str">
        <f t="shared" si="23"/>
        <v>MITALI SEN</v>
      </c>
      <c r="R136" s="29" t="str">
        <f t="shared" si="24"/>
        <v>Laptop</v>
      </c>
      <c r="S136" s="29" t="str">
        <f t="shared" si="25"/>
        <v>Electronics</v>
      </c>
      <c r="T136" s="29" t="str">
        <f t="shared" si="26"/>
        <v>North</v>
      </c>
      <c r="U136" s="29" t="str">
        <f t="shared" si="27"/>
        <v>Sneha Roy</v>
      </c>
      <c r="V136" s="29">
        <f t="shared" si="28"/>
        <v>2</v>
      </c>
      <c r="W136" s="29">
        <f t="shared" si="29"/>
        <v>57200</v>
      </c>
      <c r="X136" s="29">
        <f t="shared" si="30"/>
        <v>114400</v>
      </c>
      <c r="Y136" s="29">
        <v>94900</v>
      </c>
      <c r="Z136" s="29">
        <f t="shared" si="31"/>
        <v>19500</v>
      </c>
      <c r="AA136" s="29">
        <v>126000</v>
      </c>
      <c r="AB136" s="29" t="s">
        <v>19</v>
      </c>
      <c r="AC136" s="29" t="str">
        <f t="shared" si="32"/>
        <v>Delivered</v>
      </c>
    </row>
    <row r="137" spans="1:29" x14ac:dyDescent="0.3">
      <c r="A137" s="1" t="s">
        <v>295</v>
      </c>
      <c r="B137" s="1" t="s">
        <v>296</v>
      </c>
      <c r="C137" s="1" t="s">
        <v>47</v>
      </c>
      <c r="D137" s="1" t="s">
        <v>23</v>
      </c>
      <c r="E137" s="1" t="s">
        <v>30</v>
      </c>
      <c r="F137" s="1" t="s">
        <v>31</v>
      </c>
      <c r="G137" s="1">
        <v>16</v>
      </c>
      <c r="H137" s="1">
        <v>245</v>
      </c>
      <c r="I137" s="1">
        <v>3920</v>
      </c>
      <c r="J137" s="1">
        <v>1650</v>
      </c>
      <c r="K137" s="1">
        <v>2270</v>
      </c>
      <c r="L137" s="1">
        <v>4500</v>
      </c>
      <c r="M137" s="1" t="s">
        <v>26</v>
      </c>
      <c r="N137" s="1" t="s">
        <v>20</v>
      </c>
      <c r="P137" s="29" t="str">
        <f t="shared" si="22"/>
        <v>ORD1044</v>
      </c>
      <c r="Q137" s="29" t="str">
        <f t="shared" si="23"/>
        <v>Monika Sen</v>
      </c>
      <c r="R137" s="29" t="str">
        <f t="shared" si="24"/>
        <v>Marker Set</v>
      </c>
      <c r="S137" s="29" t="str">
        <f t="shared" si="25"/>
        <v>Stationery</v>
      </c>
      <c r="T137" s="29" t="str">
        <f t="shared" si="26"/>
        <v>South</v>
      </c>
      <c r="U137" s="29" t="str">
        <f t="shared" si="27"/>
        <v>Pooja Dey</v>
      </c>
      <c r="V137" s="29">
        <f t="shared" si="28"/>
        <v>16</v>
      </c>
      <c r="W137" s="29">
        <f t="shared" si="29"/>
        <v>245</v>
      </c>
      <c r="X137" s="29">
        <f t="shared" si="30"/>
        <v>3920</v>
      </c>
      <c r="Y137" s="29">
        <v>1650</v>
      </c>
      <c r="Z137" s="29">
        <f t="shared" si="31"/>
        <v>2270</v>
      </c>
      <c r="AA137" s="29">
        <v>4500</v>
      </c>
      <c r="AB137" s="29" t="s">
        <v>26</v>
      </c>
      <c r="AC137" s="29" t="str">
        <f t="shared" si="32"/>
        <v>Delivered</v>
      </c>
    </row>
    <row r="138" spans="1:29" x14ac:dyDescent="0.3">
      <c r="A138" s="1" t="s">
        <v>297</v>
      </c>
      <c r="B138" s="1" t="s">
        <v>298</v>
      </c>
      <c r="C138" s="1" t="s">
        <v>22</v>
      </c>
      <c r="D138" s="1" t="s">
        <v>23</v>
      </c>
      <c r="E138" s="1" t="s">
        <v>41</v>
      </c>
      <c r="F138" s="1" t="s">
        <v>42</v>
      </c>
      <c r="G138" s="1">
        <v>30</v>
      </c>
      <c r="H138" s="1">
        <v>150</v>
      </c>
      <c r="I138" s="1">
        <v>4500</v>
      </c>
      <c r="J138" s="1">
        <v>1850</v>
      </c>
      <c r="K138" s="1">
        <v>2650</v>
      </c>
      <c r="L138" s="1">
        <v>5000</v>
      </c>
      <c r="M138" s="1" t="s">
        <v>26</v>
      </c>
      <c r="N138" s="1" t="s">
        <v>20</v>
      </c>
      <c r="P138" s="29" t="str">
        <f t="shared" si="22"/>
        <v>ORD1146</v>
      </c>
      <c r="Q138" s="29" t="str">
        <f t="shared" si="23"/>
        <v>Madhurima Roy</v>
      </c>
      <c r="R138" s="29" t="str">
        <f t="shared" si="24"/>
        <v>Pen Pack</v>
      </c>
      <c r="S138" s="29" t="str">
        <f t="shared" si="25"/>
        <v>Stationery</v>
      </c>
      <c r="T138" s="29" t="str">
        <f t="shared" si="26"/>
        <v>North</v>
      </c>
      <c r="U138" s="29" t="str">
        <f t="shared" si="27"/>
        <v>Sneha Roy</v>
      </c>
      <c r="V138" s="29">
        <f t="shared" si="28"/>
        <v>30</v>
      </c>
      <c r="W138" s="29">
        <f t="shared" si="29"/>
        <v>150</v>
      </c>
      <c r="X138" s="29">
        <f t="shared" si="30"/>
        <v>4500</v>
      </c>
      <c r="Y138" s="29">
        <v>1850</v>
      </c>
      <c r="Z138" s="29">
        <f t="shared" si="31"/>
        <v>2650</v>
      </c>
      <c r="AA138" s="29">
        <v>5000</v>
      </c>
      <c r="AB138" s="29" t="s">
        <v>26</v>
      </c>
      <c r="AC138" s="29" t="str">
        <f t="shared" si="32"/>
        <v>Delivered</v>
      </c>
    </row>
    <row r="139" spans="1:29" x14ac:dyDescent="0.3">
      <c r="A139" s="1" t="s">
        <v>299</v>
      </c>
      <c r="B139" s="1" t="s">
        <v>300</v>
      </c>
      <c r="C139" s="1" t="s">
        <v>99</v>
      </c>
      <c r="D139" s="1" t="s">
        <v>23</v>
      </c>
      <c r="E139" s="1" t="s">
        <v>30</v>
      </c>
      <c r="F139" s="1" t="s">
        <v>31</v>
      </c>
      <c r="G139" s="1">
        <v>15</v>
      </c>
      <c r="H139" s="1">
        <v>120</v>
      </c>
      <c r="I139" s="1">
        <v>1800</v>
      </c>
      <c r="J139" s="1">
        <v>900</v>
      </c>
      <c r="K139" s="1">
        <v>900</v>
      </c>
      <c r="L139" s="1">
        <v>2500</v>
      </c>
      <c r="M139" s="1" t="s">
        <v>26</v>
      </c>
      <c r="N139" s="1" t="s">
        <v>20</v>
      </c>
      <c r="P139" s="29" t="str">
        <f t="shared" si="22"/>
        <v>ORD1004</v>
      </c>
      <c r="Q139" s="29" t="str">
        <f t="shared" si="23"/>
        <v>Neha Kapoor</v>
      </c>
      <c r="R139" s="29" t="str">
        <f t="shared" si="24"/>
        <v>Notebook</v>
      </c>
      <c r="S139" s="29" t="str">
        <f t="shared" si="25"/>
        <v>Stationery</v>
      </c>
      <c r="T139" s="29" t="str">
        <f t="shared" si="26"/>
        <v>South</v>
      </c>
      <c r="U139" s="29" t="str">
        <f t="shared" si="27"/>
        <v>Pooja Dey</v>
      </c>
      <c r="V139" s="29">
        <f t="shared" si="28"/>
        <v>15</v>
      </c>
      <c r="W139" s="29">
        <f t="shared" si="29"/>
        <v>120</v>
      </c>
      <c r="X139" s="29">
        <f t="shared" si="30"/>
        <v>1800</v>
      </c>
      <c r="Y139" s="29">
        <v>900</v>
      </c>
      <c r="Z139" s="29">
        <f t="shared" si="31"/>
        <v>900</v>
      </c>
      <c r="AA139" s="29">
        <v>2500</v>
      </c>
      <c r="AB139" s="29" t="s">
        <v>26</v>
      </c>
      <c r="AC139" s="29" t="str">
        <f t="shared" si="32"/>
        <v>Delivered</v>
      </c>
    </row>
    <row r="140" spans="1:29" x14ac:dyDescent="0.3">
      <c r="A140" s="1" t="s">
        <v>301</v>
      </c>
      <c r="B140" s="1" t="s">
        <v>302</v>
      </c>
      <c r="C140" s="1" t="s">
        <v>33</v>
      </c>
      <c r="D140" s="1" t="s">
        <v>16</v>
      </c>
      <c r="E140" s="1" t="s">
        <v>41</v>
      </c>
      <c r="F140" s="1" t="s">
        <v>42</v>
      </c>
      <c r="G140" s="1">
        <v>1</v>
      </c>
      <c r="H140" s="1">
        <v>11200</v>
      </c>
      <c r="I140" s="1">
        <v>11200</v>
      </c>
      <c r="J140" s="1">
        <v>8500</v>
      </c>
      <c r="K140" s="1">
        <v>2700</v>
      </c>
      <c r="L140" s="1">
        <v>13500</v>
      </c>
      <c r="M140" s="1" t="s">
        <v>28</v>
      </c>
      <c r="N140" s="1" t="s">
        <v>20</v>
      </c>
      <c r="P140" s="29" t="str">
        <f t="shared" si="22"/>
        <v>ORD1106</v>
      </c>
      <c r="Q140" s="29" t="str">
        <f t="shared" si="23"/>
        <v>Riya Banerjee</v>
      </c>
      <c r="R140" s="29" t="str">
        <f t="shared" si="24"/>
        <v>Bookshelf</v>
      </c>
      <c r="S140" s="29" t="str">
        <f t="shared" si="25"/>
        <v>Furniture</v>
      </c>
      <c r="T140" s="29" t="str">
        <f t="shared" si="26"/>
        <v>North</v>
      </c>
      <c r="U140" s="29" t="str">
        <f t="shared" si="27"/>
        <v>Sneha Roy</v>
      </c>
      <c r="V140" s="29">
        <f t="shared" si="28"/>
        <v>1</v>
      </c>
      <c r="W140" s="29">
        <f t="shared" si="29"/>
        <v>11200</v>
      </c>
      <c r="X140" s="29">
        <f t="shared" si="30"/>
        <v>11200</v>
      </c>
      <c r="Y140" s="29">
        <v>8500</v>
      </c>
      <c r="Z140" s="29">
        <f t="shared" si="31"/>
        <v>2700</v>
      </c>
      <c r="AA140" s="29">
        <v>13500</v>
      </c>
      <c r="AB140" s="29" t="s">
        <v>28</v>
      </c>
      <c r="AC140" s="29" t="str">
        <f t="shared" si="32"/>
        <v>Delivered</v>
      </c>
    </row>
    <row r="141" spans="1:29" x14ac:dyDescent="0.3">
      <c r="A141" s="1" t="s">
        <v>303</v>
      </c>
      <c r="B141" s="1" t="s">
        <v>304</v>
      </c>
      <c r="C141" s="1" t="s">
        <v>56</v>
      </c>
      <c r="D141" s="1" t="s">
        <v>37</v>
      </c>
      <c r="E141" s="1" t="s">
        <v>41</v>
      </c>
      <c r="F141" s="1" t="s">
        <v>42</v>
      </c>
      <c r="G141" s="1">
        <v>2</v>
      </c>
      <c r="H141" s="1">
        <v>57000</v>
      </c>
      <c r="I141" s="1">
        <v>114000</v>
      </c>
      <c r="J141" s="1">
        <v>95000</v>
      </c>
      <c r="K141" s="1">
        <v>19000</v>
      </c>
      <c r="L141" s="1">
        <v>126000</v>
      </c>
      <c r="M141" s="1" t="s">
        <v>19</v>
      </c>
      <c r="N141" s="1" t="s">
        <v>20</v>
      </c>
      <c r="P141" s="29" t="str">
        <f t="shared" si="22"/>
        <v>ORD1054</v>
      </c>
      <c r="Q141" s="29" t="str">
        <f t="shared" si="23"/>
        <v>Neha Jain</v>
      </c>
      <c r="R141" s="29" t="str">
        <f t="shared" si="24"/>
        <v>Laptop</v>
      </c>
      <c r="S141" s="29" t="str">
        <f t="shared" si="25"/>
        <v>Electronics</v>
      </c>
      <c r="T141" s="29" t="str">
        <f t="shared" si="26"/>
        <v>North</v>
      </c>
      <c r="U141" s="29" t="str">
        <f t="shared" si="27"/>
        <v>Sneha Roy</v>
      </c>
      <c r="V141" s="29">
        <f t="shared" si="28"/>
        <v>2</v>
      </c>
      <c r="W141" s="29">
        <f t="shared" si="29"/>
        <v>57000</v>
      </c>
      <c r="X141" s="29">
        <f t="shared" si="30"/>
        <v>114000</v>
      </c>
      <c r="Y141" s="29">
        <v>95000</v>
      </c>
      <c r="Z141" s="29">
        <f t="shared" si="31"/>
        <v>19000</v>
      </c>
      <c r="AA141" s="29">
        <v>126000</v>
      </c>
      <c r="AB141" s="29" t="s">
        <v>19</v>
      </c>
      <c r="AC141" s="29" t="str">
        <f t="shared" si="32"/>
        <v>Delivered</v>
      </c>
    </row>
    <row r="142" spans="1:29" x14ac:dyDescent="0.3">
      <c r="A142" s="1" t="s">
        <v>305</v>
      </c>
      <c r="B142" s="1" t="s">
        <v>306</v>
      </c>
      <c r="C142" s="1" t="s">
        <v>47</v>
      </c>
      <c r="D142" s="1" t="s">
        <v>23</v>
      </c>
      <c r="E142" s="1" t="s">
        <v>41</v>
      </c>
      <c r="F142" s="1" t="s">
        <v>42</v>
      </c>
      <c r="G142" s="1">
        <v>16</v>
      </c>
      <c r="H142" s="1">
        <v>264</v>
      </c>
      <c r="I142" s="1">
        <v>4224</v>
      </c>
      <c r="J142" s="1">
        <v>1760</v>
      </c>
      <c r="K142" s="1">
        <v>2464</v>
      </c>
      <c r="L142" s="1">
        <v>5000</v>
      </c>
      <c r="M142" s="1" t="s">
        <v>26</v>
      </c>
      <c r="N142" s="1" t="s">
        <v>20</v>
      </c>
      <c r="P142" s="29" t="str">
        <f t="shared" si="22"/>
        <v>ORD1134</v>
      </c>
      <c r="Q142" s="29" t="str">
        <f t="shared" si="23"/>
        <v>MEGHA ROY</v>
      </c>
      <c r="R142" s="29" t="str">
        <f t="shared" si="24"/>
        <v>Marker Set</v>
      </c>
      <c r="S142" s="29" t="str">
        <f t="shared" si="25"/>
        <v>Stationery</v>
      </c>
      <c r="T142" s="29" t="str">
        <f t="shared" si="26"/>
        <v>North</v>
      </c>
      <c r="U142" s="29" t="str">
        <f t="shared" si="27"/>
        <v>Sneha Roy</v>
      </c>
      <c r="V142" s="29">
        <f t="shared" si="28"/>
        <v>16</v>
      </c>
      <c r="W142" s="29">
        <f t="shared" si="29"/>
        <v>264</v>
      </c>
      <c r="X142" s="29">
        <f t="shared" si="30"/>
        <v>4224</v>
      </c>
      <c r="Y142" s="29">
        <v>1760</v>
      </c>
      <c r="Z142" s="29">
        <f t="shared" si="31"/>
        <v>2464</v>
      </c>
      <c r="AA142" s="29">
        <v>5000</v>
      </c>
      <c r="AB142" s="29" t="s">
        <v>26</v>
      </c>
      <c r="AC142" s="29" t="str">
        <f t="shared" si="32"/>
        <v>Delivered</v>
      </c>
    </row>
    <row r="143" spans="1:29" x14ac:dyDescent="0.3">
      <c r="A143" s="1" t="s">
        <v>307</v>
      </c>
      <c r="B143" s="1" t="s">
        <v>308</v>
      </c>
      <c r="C143" s="1" t="s">
        <v>22</v>
      </c>
      <c r="D143" s="1" t="s">
        <v>23</v>
      </c>
      <c r="E143" s="1" t="s">
        <v>17</v>
      </c>
      <c r="F143" s="1" t="s">
        <v>18</v>
      </c>
      <c r="G143" s="1">
        <v>29</v>
      </c>
      <c r="H143" s="1">
        <v>148</v>
      </c>
      <c r="I143" s="1">
        <v>4292</v>
      </c>
      <c r="J143" s="1">
        <v>1760</v>
      </c>
      <c r="K143" s="1">
        <v>2532</v>
      </c>
      <c r="L143" s="1">
        <v>4900</v>
      </c>
      <c r="M143" s="1" t="s">
        <v>26</v>
      </c>
      <c r="N143" s="1" t="s">
        <v>20</v>
      </c>
      <c r="P143" s="29" t="str">
        <f t="shared" si="22"/>
        <v>ORD1191</v>
      </c>
      <c r="Q143" s="29" t="str">
        <f t="shared" si="23"/>
        <v>Sagnik Mukherjee</v>
      </c>
      <c r="R143" s="29" t="str">
        <f t="shared" si="24"/>
        <v>Pen Pack</v>
      </c>
      <c r="S143" s="29" t="str">
        <f t="shared" si="25"/>
        <v>Stationery</v>
      </c>
      <c r="T143" s="29" t="str">
        <f t="shared" si="26"/>
        <v>West</v>
      </c>
      <c r="U143" s="29" t="str">
        <f t="shared" si="27"/>
        <v>Amit Paul</v>
      </c>
      <c r="V143" s="29">
        <f t="shared" si="28"/>
        <v>29</v>
      </c>
      <c r="W143" s="29">
        <f t="shared" si="29"/>
        <v>148</v>
      </c>
      <c r="X143" s="29">
        <f t="shared" si="30"/>
        <v>4292</v>
      </c>
      <c r="Y143" s="29">
        <v>1760</v>
      </c>
      <c r="Z143" s="29">
        <f t="shared" si="31"/>
        <v>2532</v>
      </c>
      <c r="AA143" s="29">
        <v>4900</v>
      </c>
      <c r="AB143" s="29" t="s">
        <v>26</v>
      </c>
      <c r="AC143" s="29" t="str">
        <f t="shared" si="32"/>
        <v>Delivered</v>
      </c>
    </row>
    <row r="144" spans="1:29" x14ac:dyDescent="0.3">
      <c r="A144" s="1" t="s">
        <v>309</v>
      </c>
      <c r="B144" s="1" t="s">
        <v>310</v>
      </c>
      <c r="C144" s="1" t="s">
        <v>36</v>
      </c>
      <c r="D144" s="1" t="s">
        <v>37</v>
      </c>
      <c r="E144" s="1" t="s">
        <v>24</v>
      </c>
      <c r="F144" s="1" t="s">
        <v>25</v>
      </c>
      <c r="G144" s="1">
        <v>1</v>
      </c>
      <c r="H144" s="1">
        <v>15260</v>
      </c>
      <c r="I144" s="1">
        <v>15260</v>
      </c>
      <c r="J144" s="1">
        <v>12000</v>
      </c>
      <c r="K144" s="1">
        <v>3260</v>
      </c>
      <c r="L144" s="1">
        <v>17500</v>
      </c>
      <c r="M144" s="1" t="s">
        <v>19</v>
      </c>
      <c r="N144" s="1" t="s">
        <v>20</v>
      </c>
      <c r="P144" s="29" t="str">
        <f t="shared" si="22"/>
        <v>ORD1165</v>
      </c>
      <c r="Q144" s="29" t="str">
        <f t="shared" si="23"/>
        <v>Sagnik Kapoor</v>
      </c>
      <c r="R144" s="29" t="str">
        <f t="shared" si="24"/>
        <v>Printer</v>
      </c>
      <c r="S144" s="29" t="str">
        <f t="shared" si="25"/>
        <v>Electronics</v>
      </c>
      <c r="T144" s="29" t="str">
        <f t="shared" si="26"/>
        <v>East</v>
      </c>
      <c r="U144" s="29" t="str">
        <f t="shared" si="27"/>
        <v>Rahul Das</v>
      </c>
      <c r="V144" s="29">
        <f t="shared" si="28"/>
        <v>1</v>
      </c>
      <c r="W144" s="29">
        <f t="shared" si="29"/>
        <v>15260</v>
      </c>
      <c r="X144" s="29">
        <f t="shared" si="30"/>
        <v>15260</v>
      </c>
      <c r="Y144" s="29">
        <v>12000</v>
      </c>
      <c r="Z144" s="29">
        <f t="shared" si="31"/>
        <v>3260</v>
      </c>
      <c r="AA144" s="29">
        <v>17500</v>
      </c>
      <c r="AB144" s="29" t="s">
        <v>19</v>
      </c>
      <c r="AC144" s="29" t="str">
        <f t="shared" si="32"/>
        <v>Delivered</v>
      </c>
    </row>
    <row r="145" spans="1:29" x14ac:dyDescent="0.3">
      <c r="A145" s="1" t="s">
        <v>311</v>
      </c>
      <c r="B145" s="1" t="s">
        <v>312</v>
      </c>
      <c r="C145" s="1" t="s">
        <v>33</v>
      </c>
      <c r="D145" s="1" t="s">
        <v>16</v>
      </c>
      <c r="E145" s="1" t="s">
        <v>30</v>
      </c>
      <c r="F145" s="1" t="s">
        <v>31</v>
      </c>
      <c r="G145" s="1">
        <v>2</v>
      </c>
      <c r="H145" s="1">
        <v>11330</v>
      </c>
      <c r="I145" s="1">
        <v>22660</v>
      </c>
      <c r="J145" s="1">
        <v>17150</v>
      </c>
      <c r="K145" s="1">
        <v>5510</v>
      </c>
      <c r="L145" s="1">
        <v>25000</v>
      </c>
      <c r="M145" s="1" t="s">
        <v>28</v>
      </c>
      <c r="N145" s="1" t="s">
        <v>20</v>
      </c>
      <c r="P145" s="29" t="str">
        <f t="shared" si="22"/>
        <v>ORD1196</v>
      </c>
      <c r="Q145" s="29" t="str">
        <f t="shared" si="23"/>
        <v>Ishita Dey</v>
      </c>
      <c r="R145" s="29" t="str">
        <f t="shared" si="24"/>
        <v>Bookshelf</v>
      </c>
      <c r="S145" s="29" t="str">
        <f t="shared" si="25"/>
        <v>Furniture</v>
      </c>
      <c r="T145" s="29" t="str">
        <f t="shared" si="26"/>
        <v>South</v>
      </c>
      <c r="U145" s="29" t="str">
        <f t="shared" si="27"/>
        <v>Pooja Dey</v>
      </c>
      <c r="V145" s="29">
        <f t="shared" si="28"/>
        <v>2</v>
      </c>
      <c r="W145" s="29">
        <f t="shared" si="29"/>
        <v>11330</v>
      </c>
      <c r="X145" s="29">
        <f t="shared" si="30"/>
        <v>22660</v>
      </c>
      <c r="Y145" s="29">
        <v>17150</v>
      </c>
      <c r="Z145" s="29">
        <f t="shared" si="31"/>
        <v>5510</v>
      </c>
      <c r="AA145" s="29">
        <v>25000</v>
      </c>
      <c r="AB145" s="29" t="s">
        <v>28</v>
      </c>
      <c r="AC145" s="29" t="str">
        <f t="shared" si="32"/>
        <v>Delivered</v>
      </c>
    </row>
    <row r="146" spans="1:29" x14ac:dyDescent="0.3">
      <c r="A146" s="1" t="s">
        <v>313</v>
      </c>
      <c r="B146" s="1" t="s">
        <v>314</v>
      </c>
      <c r="C146" s="1" t="s">
        <v>99</v>
      </c>
      <c r="D146" s="1" t="s">
        <v>23</v>
      </c>
      <c r="E146" s="1" t="s">
        <v>41</v>
      </c>
      <c r="F146" s="1" t="s">
        <v>42</v>
      </c>
      <c r="G146" s="1">
        <v>30</v>
      </c>
      <c r="H146" s="1">
        <v>98</v>
      </c>
      <c r="I146" s="1">
        <v>2940</v>
      </c>
      <c r="J146" s="1">
        <v>1400</v>
      </c>
      <c r="K146" s="1">
        <v>1540</v>
      </c>
      <c r="L146" s="1">
        <v>3800</v>
      </c>
      <c r="M146" s="1" t="s">
        <v>26</v>
      </c>
      <c r="N146" s="1" t="s">
        <v>20</v>
      </c>
      <c r="P146" s="29" t="str">
        <f t="shared" si="22"/>
        <v>ORD1050</v>
      </c>
      <c r="Q146" s="29" t="str">
        <f t="shared" si="23"/>
        <v>Isha Kapoor</v>
      </c>
      <c r="R146" s="29" t="str">
        <f t="shared" si="24"/>
        <v>Notebook</v>
      </c>
      <c r="S146" s="29" t="str">
        <f t="shared" si="25"/>
        <v>Stationery</v>
      </c>
      <c r="T146" s="29" t="str">
        <f t="shared" si="26"/>
        <v>North</v>
      </c>
      <c r="U146" s="29" t="str">
        <f t="shared" si="27"/>
        <v>Sneha Roy</v>
      </c>
      <c r="V146" s="29">
        <f t="shared" si="28"/>
        <v>30</v>
      </c>
      <c r="W146" s="29">
        <f t="shared" si="29"/>
        <v>98</v>
      </c>
      <c r="X146" s="29">
        <f t="shared" si="30"/>
        <v>2940</v>
      </c>
      <c r="Y146" s="29">
        <v>1400</v>
      </c>
      <c r="Z146" s="29">
        <f t="shared" si="31"/>
        <v>1540</v>
      </c>
      <c r="AA146" s="29">
        <v>3800</v>
      </c>
      <c r="AB146" s="29" t="s">
        <v>26</v>
      </c>
      <c r="AC146" s="29" t="str">
        <f t="shared" si="32"/>
        <v>Delivered</v>
      </c>
    </row>
    <row r="147" spans="1:29" x14ac:dyDescent="0.3">
      <c r="A147" s="1" t="s">
        <v>315</v>
      </c>
      <c r="B147" s="1" t="s">
        <v>316</v>
      </c>
      <c r="C147" s="1" t="s">
        <v>56</v>
      </c>
      <c r="D147" s="1" t="s">
        <v>37</v>
      </c>
      <c r="E147" s="1" t="s">
        <v>24</v>
      </c>
      <c r="F147" s="1" t="s">
        <v>25</v>
      </c>
      <c r="G147" s="1">
        <v>1</v>
      </c>
      <c r="H147" s="1">
        <v>57800</v>
      </c>
      <c r="I147" s="1">
        <v>57800</v>
      </c>
      <c r="J147" s="1">
        <v>46200</v>
      </c>
      <c r="K147" s="1">
        <v>11600</v>
      </c>
      <c r="L147" s="1">
        <v>65000</v>
      </c>
      <c r="M147" s="1" t="s">
        <v>19</v>
      </c>
      <c r="N147" s="1" t="s">
        <v>20</v>
      </c>
      <c r="P147" s="29" t="str">
        <f t="shared" si="22"/>
        <v>ORD1081</v>
      </c>
      <c r="Q147" s="29" t="str">
        <f t="shared" si="23"/>
        <v>Ayush Banerjee</v>
      </c>
      <c r="R147" s="29" t="str">
        <f t="shared" si="24"/>
        <v>Laptop</v>
      </c>
      <c r="S147" s="29" t="str">
        <f t="shared" si="25"/>
        <v>Electronics</v>
      </c>
      <c r="T147" s="29" t="str">
        <f t="shared" si="26"/>
        <v>East</v>
      </c>
      <c r="U147" s="29" t="str">
        <f t="shared" si="27"/>
        <v>Rahul Das</v>
      </c>
      <c r="V147" s="29">
        <f t="shared" si="28"/>
        <v>1</v>
      </c>
      <c r="W147" s="29">
        <f t="shared" si="29"/>
        <v>57800</v>
      </c>
      <c r="X147" s="29">
        <f t="shared" si="30"/>
        <v>57800</v>
      </c>
      <c r="Y147" s="29">
        <v>46200</v>
      </c>
      <c r="Z147" s="29">
        <f t="shared" si="31"/>
        <v>11600</v>
      </c>
      <c r="AA147" s="29">
        <v>65000</v>
      </c>
      <c r="AB147" s="29" t="s">
        <v>19</v>
      </c>
      <c r="AC147" s="29" t="str">
        <f t="shared" si="32"/>
        <v>Delivered</v>
      </c>
    </row>
    <row r="148" spans="1:29" x14ac:dyDescent="0.3">
      <c r="A148" s="1" t="s">
        <v>317</v>
      </c>
      <c r="B148" s="1" t="s">
        <v>318</v>
      </c>
      <c r="C148" s="1" t="s">
        <v>47</v>
      </c>
      <c r="D148" s="1" t="s">
        <v>23</v>
      </c>
      <c r="E148" s="1" t="s">
        <v>17</v>
      </c>
      <c r="F148" s="1" t="s">
        <v>18</v>
      </c>
      <c r="G148" s="1">
        <v>20</v>
      </c>
      <c r="H148" s="1">
        <v>255</v>
      </c>
      <c r="I148" s="1">
        <v>5100</v>
      </c>
      <c r="J148" s="1">
        <v>2100</v>
      </c>
      <c r="K148" s="1">
        <v>3000</v>
      </c>
      <c r="L148" s="1">
        <v>5600</v>
      </c>
      <c r="M148" s="1" t="s">
        <v>28</v>
      </c>
      <c r="N148" s="1" t="s">
        <v>20</v>
      </c>
      <c r="P148" s="29" t="str">
        <f t="shared" si="22"/>
        <v>ORD1035</v>
      </c>
      <c r="Q148" s="29" t="str">
        <f t="shared" si="23"/>
        <v>Arnav Bose</v>
      </c>
      <c r="R148" s="29" t="str">
        <f t="shared" si="24"/>
        <v>Marker Set</v>
      </c>
      <c r="S148" s="29" t="str">
        <f t="shared" si="25"/>
        <v>Stationery</v>
      </c>
      <c r="T148" s="29" t="str">
        <f t="shared" si="26"/>
        <v>West</v>
      </c>
      <c r="U148" s="29" t="str">
        <f t="shared" si="27"/>
        <v>Amit Paul</v>
      </c>
      <c r="V148" s="29">
        <f t="shared" si="28"/>
        <v>20</v>
      </c>
      <c r="W148" s="29">
        <f t="shared" si="29"/>
        <v>255</v>
      </c>
      <c r="X148" s="29">
        <f t="shared" si="30"/>
        <v>5100</v>
      </c>
      <c r="Y148" s="29">
        <v>2100</v>
      </c>
      <c r="Z148" s="29">
        <f t="shared" si="31"/>
        <v>3000</v>
      </c>
      <c r="AA148" s="29">
        <v>5600</v>
      </c>
      <c r="AB148" s="29" t="s">
        <v>28</v>
      </c>
      <c r="AC148" s="29" t="str">
        <f t="shared" si="32"/>
        <v>Delivered</v>
      </c>
    </row>
    <row r="149" spans="1:29" x14ac:dyDescent="0.3">
      <c r="A149" s="1" t="s">
        <v>319</v>
      </c>
      <c r="B149" s="1" t="s">
        <v>320</v>
      </c>
      <c r="C149" s="1" t="s">
        <v>88</v>
      </c>
      <c r="D149" s="1" t="s">
        <v>37</v>
      </c>
      <c r="E149" s="1" t="s">
        <v>30</v>
      </c>
      <c r="F149" s="1" t="s">
        <v>31</v>
      </c>
      <c r="G149" s="1">
        <v>2</v>
      </c>
      <c r="H149" s="1">
        <v>12000</v>
      </c>
      <c r="I149" s="1">
        <v>24000</v>
      </c>
      <c r="J149" s="1">
        <v>18500</v>
      </c>
      <c r="K149" s="1">
        <v>5500</v>
      </c>
      <c r="L149" s="1">
        <v>26000</v>
      </c>
      <c r="M149" s="1" t="s">
        <v>19</v>
      </c>
      <c r="N149" s="1" t="s">
        <v>20</v>
      </c>
      <c r="P149" s="29" t="str">
        <f t="shared" si="22"/>
        <v>ORD1008</v>
      </c>
      <c r="Q149" s="29" t="str">
        <f t="shared" si="23"/>
        <v>Sanjay Dutta</v>
      </c>
      <c r="R149" s="29" t="str">
        <f t="shared" si="24"/>
        <v>Monitor</v>
      </c>
      <c r="S149" s="29" t="str">
        <f t="shared" si="25"/>
        <v>Electronics</v>
      </c>
      <c r="T149" s="29" t="str">
        <f t="shared" si="26"/>
        <v>South</v>
      </c>
      <c r="U149" s="29" t="str">
        <f t="shared" si="27"/>
        <v>Pooja Dey</v>
      </c>
      <c r="V149" s="29">
        <f t="shared" si="28"/>
        <v>2</v>
      </c>
      <c r="W149" s="29">
        <f t="shared" si="29"/>
        <v>12000</v>
      </c>
      <c r="X149" s="29">
        <f t="shared" si="30"/>
        <v>24000</v>
      </c>
      <c r="Y149" s="29">
        <v>18500</v>
      </c>
      <c r="Z149" s="29">
        <f t="shared" si="31"/>
        <v>5500</v>
      </c>
      <c r="AA149" s="29">
        <v>26000</v>
      </c>
      <c r="AB149" s="29" t="s">
        <v>19</v>
      </c>
      <c r="AC149" s="29" t="str">
        <f t="shared" si="32"/>
        <v>Delivered</v>
      </c>
    </row>
    <row r="150" spans="1:29" x14ac:dyDescent="0.3">
      <c r="A150" s="1" t="s">
        <v>321</v>
      </c>
      <c r="B150" s="1" t="s">
        <v>322</v>
      </c>
      <c r="C150" s="1" t="s">
        <v>36</v>
      </c>
      <c r="D150" s="1" t="s">
        <v>37</v>
      </c>
      <c r="E150" s="1" t="s">
        <v>17</v>
      </c>
      <c r="F150" s="1" t="s">
        <v>18</v>
      </c>
      <c r="G150" s="1">
        <v>1</v>
      </c>
      <c r="H150" s="1">
        <v>15080</v>
      </c>
      <c r="I150" s="1">
        <v>15080</v>
      </c>
      <c r="J150" s="1">
        <v>11850</v>
      </c>
      <c r="K150" s="1">
        <v>3230</v>
      </c>
      <c r="L150" s="1">
        <v>17500</v>
      </c>
      <c r="M150" s="1" t="s">
        <v>19</v>
      </c>
      <c r="N150" s="1" t="s">
        <v>20</v>
      </c>
      <c r="P150" s="29" t="str">
        <f t="shared" si="22"/>
        <v>ORD1111</v>
      </c>
      <c r="Q150" s="29" t="str">
        <f t="shared" si="23"/>
        <v>Sagnik Sen</v>
      </c>
      <c r="R150" s="29" t="str">
        <f t="shared" si="24"/>
        <v>Printer</v>
      </c>
      <c r="S150" s="29" t="str">
        <f t="shared" si="25"/>
        <v>Electronics</v>
      </c>
      <c r="T150" s="29" t="str">
        <f t="shared" si="26"/>
        <v>West</v>
      </c>
      <c r="U150" s="29" t="str">
        <f t="shared" si="27"/>
        <v>Amit Paul</v>
      </c>
      <c r="V150" s="29">
        <f t="shared" si="28"/>
        <v>1</v>
      </c>
      <c r="W150" s="29">
        <f t="shared" si="29"/>
        <v>15080</v>
      </c>
      <c r="X150" s="29">
        <f t="shared" si="30"/>
        <v>15080</v>
      </c>
      <c r="Y150" s="29">
        <v>11850</v>
      </c>
      <c r="Z150" s="29">
        <f t="shared" si="31"/>
        <v>3230</v>
      </c>
      <c r="AA150" s="29">
        <v>17500</v>
      </c>
      <c r="AB150" s="29" t="s">
        <v>19</v>
      </c>
      <c r="AC150" s="29" t="str">
        <f t="shared" si="32"/>
        <v>Delivered</v>
      </c>
    </row>
    <row r="151" spans="1:29" x14ac:dyDescent="0.3">
      <c r="A151" s="1" t="s">
        <v>323</v>
      </c>
      <c r="B151" s="1" t="s">
        <v>324</v>
      </c>
      <c r="C151" s="1" t="s">
        <v>22</v>
      </c>
      <c r="D151" s="1" t="s">
        <v>23</v>
      </c>
      <c r="E151" s="1" t="s">
        <v>30</v>
      </c>
      <c r="F151" s="1" t="s">
        <v>31</v>
      </c>
      <c r="G151" s="1">
        <v>31</v>
      </c>
      <c r="H151" s="1">
        <v>146</v>
      </c>
      <c r="I151" s="1">
        <v>4526</v>
      </c>
      <c r="J151" s="1">
        <v>1900</v>
      </c>
      <c r="K151" s="1">
        <v>2626</v>
      </c>
      <c r="L151" s="1">
        <v>5100</v>
      </c>
      <c r="M151" s="1" t="s">
        <v>26</v>
      </c>
      <c r="N151" s="1" t="s">
        <v>20</v>
      </c>
      <c r="P151" s="29" t="str">
        <f t="shared" si="22"/>
        <v>ORD1092</v>
      </c>
      <c r="Q151" s="29" t="str">
        <f t="shared" si="23"/>
        <v>Megha Banik</v>
      </c>
      <c r="R151" s="29" t="str">
        <f t="shared" si="24"/>
        <v>Pen Pack</v>
      </c>
      <c r="S151" s="29" t="str">
        <f t="shared" si="25"/>
        <v>Stationery</v>
      </c>
      <c r="T151" s="29" t="str">
        <f t="shared" si="26"/>
        <v>South</v>
      </c>
      <c r="U151" s="29" t="str">
        <f t="shared" si="27"/>
        <v>Pooja Dey</v>
      </c>
      <c r="V151" s="29">
        <f t="shared" si="28"/>
        <v>31</v>
      </c>
      <c r="W151" s="29">
        <f t="shared" si="29"/>
        <v>146</v>
      </c>
      <c r="X151" s="29">
        <f t="shared" si="30"/>
        <v>4526</v>
      </c>
      <c r="Y151" s="29">
        <v>1900</v>
      </c>
      <c r="Z151" s="29">
        <f t="shared" si="31"/>
        <v>2626</v>
      </c>
      <c r="AA151" s="29">
        <v>5100</v>
      </c>
      <c r="AB151" s="29" t="s">
        <v>26</v>
      </c>
      <c r="AC151" s="29" t="str">
        <f t="shared" si="32"/>
        <v>Delivered</v>
      </c>
    </row>
    <row r="152" spans="1:29" x14ac:dyDescent="0.3">
      <c r="A152" s="1" t="s">
        <v>325</v>
      </c>
      <c r="B152" s="1" t="s">
        <v>326</v>
      </c>
      <c r="C152" s="1" t="s">
        <v>36</v>
      </c>
      <c r="D152" s="1" t="s">
        <v>37</v>
      </c>
      <c r="E152" s="1" t="s">
        <v>30</v>
      </c>
      <c r="F152" s="1" t="s">
        <v>31</v>
      </c>
      <c r="G152" s="1">
        <v>2</v>
      </c>
      <c r="H152" s="1">
        <v>15250</v>
      </c>
      <c r="I152" s="1">
        <v>30500</v>
      </c>
      <c r="J152" s="1">
        <v>23600</v>
      </c>
      <c r="K152" s="1">
        <v>6900</v>
      </c>
      <c r="L152" s="1">
        <v>34000</v>
      </c>
      <c r="M152" s="1" t="s">
        <v>19</v>
      </c>
      <c r="N152" s="1" t="s">
        <v>20</v>
      </c>
      <c r="P152" s="29" t="str">
        <f t="shared" si="22"/>
        <v>ORD1084</v>
      </c>
      <c r="Q152" s="29" t="str">
        <f t="shared" si="23"/>
        <v>Neha Das</v>
      </c>
      <c r="R152" s="29" t="str">
        <f t="shared" si="24"/>
        <v>Printer</v>
      </c>
      <c r="S152" s="29" t="str">
        <f t="shared" si="25"/>
        <v>Electronics</v>
      </c>
      <c r="T152" s="29" t="str">
        <f t="shared" si="26"/>
        <v>South</v>
      </c>
      <c r="U152" s="29" t="str">
        <f t="shared" si="27"/>
        <v>Pooja Dey</v>
      </c>
      <c r="V152" s="29">
        <f t="shared" si="28"/>
        <v>2</v>
      </c>
      <c r="W152" s="29">
        <f t="shared" si="29"/>
        <v>15250</v>
      </c>
      <c r="X152" s="29">
        <f t="shared" si="30"/>
        <v>30500</v>
      </c>
      <c r="Y152" s="29">
        <v>23600</v>
      </c>
      <c r="Z152" s="29">
        <f t="shared" si="31"/>
        <v>6900</v>
      </c>
      <c r="AA152" s="29">
        <v>34000</v>
      </c>
      <c r="AB152" s="29" t="s">
        <v>19</v>
      </c>
      <c r="AC152" s="29" t="str">
        <f t="shared" si="32"/>
        <v>Delivered</v>
      </c>
    </row>
    <row r="153" spans="1:29" x14ac:dyDescent="0.3">
      <c r="A153" s="1" t="s">
        <v>327</v>
      </c>
      <c r="B153" s="1" t="s">
        <v>328</v>
      </c>
      <c r="C153" s="1" t="s">
        <v>33</v>
      </c>
      <c r="D153" s="1" t="s">
        <v>16</v>
      </c>
      <c r="E153" s="1" t="s">
        <v>17</v>
      </c>
      <c r="F153" s="1" t="s">
        <v>18</v>
      </c>
      <c r="G153" s="1">
        <v>1</v>
      </c>
      <c r="H153" s="1">
        <v>11420</v>
      </c>
      <c r="I153" s="1">
        <v>11420</v>
      </c>
      <c r="J153" s="1">
        <v>8680</v>
      </c>
      <c r="K153" s="1">
        <v>2740</v>
      </c>
      <c r="L153" s="1">
        <v>13500</v>
      </c>
      <c r="M153" s="1" t="s">
        <v>28</v>
      </c>
      <c r="N153" s="1" t="s">
        <v>20</v>
      </c>
      <c r="P153" s="29" t="str">
        <f t="shared" si="22"/>
        <v>ORD1187</v>
      </c>
      <c r="Q153" s="29" t="str">
        <f t="shared" si="23"/>
        <v>Kunal Das</v>
      </c>
      <c r="R153" s="29" t="str">
        <f t="shared" si="24"/>
        <v>Bookshelf</v>
      </c>
      <c r="S153" s="29" t="str">
        <f t="shared" si="25"/>
        <v>Furniture</v>
      </c>
      <c r="T153" s="29" t="str">
        <f t="shared" si="26"/>
        <v>West</v>
      </c>
      <c r="U153" s="29" t="str">
        <f t="shared" si="27"/>
        <v>Amit Paul</v>
      </c>
      <c r="V153" s="29">
        <f t="shared" si="28"/>
        <v>1</v>
      </c>
      <c r="W153" s="29">
        <f t="shared" si="29"/>
        <v>11420</v>
      </c>
      <c r="X153" s="29">
        <f t="shared" si="30"/>
        <v>11420</v>
      </c>
      <c r="Y153" s="29">
        <v>8680</v>
      </c>
      <c r="Z153" s="29">
        <f t="shared" si="31"/>
        <v>2740</v>
      </c>
      <c r="AA153" s="29">
        <v>13500</v>
      </c>
      <c r="AB153" s="29" t="s">
        <v>28</v>
      </c>
      <c r="AC153" s="29" t="str">
        <f t="shared" si="32"/>
        <v>Delivered</v>
      </c>
    </row>
    <row r="154" spans="1:29" x14ac:dyDescent="0.3">
      <c r="A154" s="1" t="s">
        <v>329</v>
      </c>
      <c r="B154" s="1" t="s">
        <v>330</v>
      </c>
      <c r="C154" s="1" t="s">
        <v>36</v>
      </c>
      <c r="D154" s="1" t="s">
        <v>37</v>
      </c>
      <c r="E154" s="1" t="s">
        <v>30</v>
      </c>
      <c r="F154" s="1" t="s">
        <v>31</v>
      </c>
      <c r="G154" s="1">
        <v>2</v>
      </c>
      <c r="H154" s="1">
        <v>15230</v>
      </c>
      <c r="I154" s="1">
        <v>30460</v>
      </c>
      <c r="J154" s="1">
        <v>23640</v>
      </c>
      <c r="K154" s="1">
        <v>6820</v>
      </c>
      <c r="L154" s="1">
        <v>34000</v>
      </c>
      <c r="M154" s="1" t="s">
        <v>19</v>
      </c>
      <c r="N154" s="1" t="s">
        <v>20</v>
      </c>
      <c r="P154" s="29" t="str">
        <f t="shared" si="22"/>
        <v>ORD1192</v>
      </c>
      <c r="Q154" s="29" t="str">
        <f t="shared" si="23"/>
        <v>Neha Ghosh</v>
      </c>
      <c r="R154" s="29" t="str">
        <f t="shared" si="24"/>
        <v>Printer</v>
      </c>
      <c r="S154" s="29" t="str">
        <f t="shared" si="25"/>
        <v>Electronics</v>
      </c>
      <c r="T154" s="29" t="str">
        <f t="shared" si="26"/>
        <v>South</v>
      </c>
      <c r="U154" s="29" t="str">
        <f t="shared" si="27"/>
        <v>Pooja Dey</v>
      </c>
      <c r="V154" s="29">
        <f t="shared" si="28"/>
        <v>2</v>
      </c>
      <c r="W154" s="29">
        <f t="shared" si="29"/>
        <v>15230</v>
      </c>
      <c r="X154" s="29">
        <f t="shared" si="30"/>
        <v>30460</v>
      </c>
      <c r="Y154" s="29">
        <v>23640</v>
      </c>
      <c r="Z154" s="29">
        <f t="shared" si="31"/>
        <v>6820</v>
      </c>
      <c r="AA154" s="29">
        <v>34000</v>
      </c>
      <c r="AB154" s="29" t="s">
        <v>19</v>
      </c>
      <c r="AC154" s="29" t="str">
        <f t="shared" si="32"/>
        <v>Delivered</v>
      </c>
    </row>
    <row r="155" spans="1:29" x14ac:dyDescent="0.3">
      <c r="A155" s="1" t="s">
        <v>331</v>
      </c>
      <c r="B155" s="1" t="s">
        <v>332</v>
      </c>
      <c r="C155" s="1" t="s">
        <v>56</v>
      </c>
      <c r="D155" s="1" t="s">
        <v>37</v>
      </c>
      <c r="E155" s="1" t="s">
        <v>41</v>
      </c>
      <c r="F155" s="1" t="s">
        <v>42</v>
      </c>
      <c r="G155" s="1">
        <v>2</v>
      </c>
      <c r="H155" s="1">
        <v>56800</v>
      </c>
      <c r="I155" s="1">
        <v>113600</v>
      </c>
      <c r="J155" s="1">
        <v>94300</v>
      </c>
      <c r="K155" s="1">
        <v>19300</v>
      </c>
      <c r="L155" s="1">
        <v>126000</v>
      </c>
      <c r="M155" s="1" t="s">
        <v>19</v>
      </c>
      <c r="N155" s="1" t="s">
        <v>20</v>
      </c>
      <c r="P155" s="29" t="str">
        <f t="shared" si="22"/>
        <v>ORD1090</v>
      </c>
      <c r="Q155" s="29" t="str">
        <f t="shared" si="23"/>
        <v>Ritika Sharma</v>
      </c>
      <c r="R155" s="29" t="str">
        <f t="shared" si="24"/>
        <v>Laptop</v>
      </c>
      <c r="S155" s="29" t="str">
        <f t="shared" si="25"/>
        <v>Electronics</v>
      </c>
      <c r="T155" s="29" t="str">
        <f t="shared" si="26"/>
        <v>North</v>
      </c>
      <c r="U155" s="29" t="str">
        <f t="shared" si="27"/>
        <v>Sneha Roy</v>
      </c>
      <c r="V155" s="29">
        <f t="shared" si="28"/>
        <v>2</v>
      </c>
      <c r="W155" s="29">
        <f t="shared" si="29"/>
        <v>56800</v>
      </c>
      <c r="X155" s="29">
        <f t="shared" si="30"/>
        <v>113600</v>
      </c>
      <c r="Y155" s="29">
        <v>94300</v>
      </c>
      <c r="Z155" s="29">
        <f t="shared" si="31"/>
        <v>19300</v>
      </c>
      <c r="AA155" s="29">
        <v>126000</v>
      </c>
      <c r="AB155" s="29" t="s">
        <v>19</v>
      </c>
      <c r="AC155" s="29" t="str">
        <f t="shared" si="32"/>
        <v>Delivered</v>
      </c>
    </row>
    <row r="156" spans="1:29" x14ac:dyDescent="0.3">
      <c r="A156" s="1" t="s">
        <v>333</v>
      </c>
      <c r="B156" s="1" t="s">
        <v>334</v>
      </c>
      <c r="C156" s="1" t="s">
        <v>33</v>
      </c>
      <c r="D156" s="1" t="s">
        <v>16</v>
      </c>
      <c r="E156" s="1" t="s">
        <v>24</v>
      </c>
      <c r="F156" s="1" t="s">
        <v>25</v>
      </c>
      <c r="G156" s="1">
        <v>1</v>
      </c>
      <c r="H156" s="1">
        <v>11000</v>
      </c>
      <c r="I156" s="1">
        <v>11000</v>
      </c>
      <c r="J156" s="1">
        <v>8500</v>
      </c>
      <c r="K156" s="1">
        <v>2500</v>
      </c>
      <c r="L156" s="1">
        <v>14000</v>
      </c>
      <c r="M156" s="1" t="s">
        <v>28</v>
      </c>
      <c r="N156" s="1" t="s">
        <v>20</v>
      </c>
      <c r="P156" s="29" t="str">
        <f t="shared" si="22"/>
        <v>ORD1009</v>
      </c>
      <c r="Q156" s="29" t="str">
        <f t="shared" si="23"/>
        <v>Ishita Roy</v>
      </c>
      <c r="R156" s="29" t="str">
        <f t="shared" si="24"/>
        <v>Bookshelf</v>
      </c>
      <c r="S156" s="29" t="str">
        <f t="shared" si="25"/>
        <v>Furniture</v>
      </c>
      <c r="T156" s="29" t="str">
        <f t="shared" si="26"/>
        <v>East</v>
      </c>
      <c r="U156" s="29" t="str">
        <f t="shared" si="27"/>
        <v>Rahul Das</v>
      </c>
      <c r="V156" s="29">
        <f t="shared" si="28"/>
        <v>1</v>
      </c>
      <c r="W156" s="29">
        <f t="shared" si="29"/>
        <v>11000</v>
      </c>
      <c r="X156" s="29">
        <f t="shared" si="30"/>
        <v>11000</v>
      </c>
      <c r="Y156" s="29">
        <v>8500</v>
      </c>
      <c r="Z156" s="29">
        <f t="shared" si="31"/>
        <v>2500</v>
      </c>
      <c r="AA156" s="29">
        <v>14000</v>
      </c>
      <c r="AB156" s="29" t="s">
        <v>28</v>
      </c>
      <c r="AC156" s="29" t="str">
        <f t="shared" si="32"/>
        <v>Delivered</v>
      </c>
    </row>
    <row r="157" spans="1:29" x14ac:dyDescent="0.3">
      <c r="A157" s="1" t="s">
        <v>335</v>
      </c>
      <c r="B157" s="1" t="s">
        <v>336</v>
      </c>
      <c r="C157" s="1" t="s">
        <v>36</v>
      </c>
      <c r="D157" s="1" t="s">
        <v>37</v>
      </c>
      <c r="E157" s="1" t="s">
        <v>41</v>
      </c>
      <c r="F157" s="1" t="s">
        <v>42</v>
      </c>
      <c r="G157" s="1">
        <v>2</v>
      </c>
      <c r="H157" s="1">
        <v>14500</v>
      </c>
      <c r="I157" s="1">
        <v>29000</v>
      </c>
      <c r="J157" s="1">
        <v>22500</v>
      </c>
      <c r="K157" s="1">
        <v>6500</v>
      </c>
      <c r="L157" s="1">
        <v>32000</v>
      </c>
      <c r="M157" s="1" t="s">
        <v>19</v>
      </c>
      <c r="N157" s="1" t="s">
        <v>43</v>
      </c>
      <c r="P157" s="29" t="str">
        <f t="shared" si="22"/>
        <v>ORD1014</v>
      </c>
      <c r="Q157" s="29" t="str">
        <f t="shared" si="23"/>
        <v>Abhishek Roy</v>
      </c>
      <c r="R157" s="29" t="str">
        <f t="shared" si="24"/>
        <v>Printer</v>
      </c>
      <c r="S157" s="29" t="str">
        <f t="shared" si="25"/>
        <v>Electronics</v>
      </c>
      <c r="T157" s="29" t="str">
        <f t="shared" si="26"/>
        <v>North</v>
      </c>
      <c r="U157" s="29" t="str">
        <f t="shared" si="27"/>
        <v>Sneha Roy</v>
      </c>
      <c r="V157" s="29">
        <f t="shared" si="28"/>
        <v>2</v>
      </c>
      <c r="W157" s="29">
        <f t="shared" si="29"/>
        <v>14500</v>
      </c>
      <c r="X157" s="29">
        <f t="shared" si="30"/>
        <v>29000</v>
      </c>
      <c r="Y157" s="29">
        <v>22500</v>
      </c>
      <c r="Z157" s="29">
        <f t="shared" si="31"/>
        <v>6500</v>
      </c>
      <c r="AA157" s="29">
        <v>32000</v>
      </c>
      <c r="AB157" s="29" t="s">
        <v>19</v>
      </c>
      <c r="AC157" s="29" t="str">
        <f t="shared" si="32"/>
        <v>Pending</v>
      </c>
    </row>
    <row r="158" spans="1:29" x14ac:dyDescent="0.3">
      <c r="A158" s="1" t="s">
        <v>337</v>
      </c>
      <c r="B158" s="1" t="s">
        <v>338</v>
      </c>
      <c r="C158" s="1" t="s">
        <v>88</v>
      </c>
      <c r="D158" s="1" t="s">
        <v>37</v>
      </c>
      <c r="E158" s="1" t="s">
        <v>30</v>
      </c>
      <c r="F158" s="1" t="s">
        <v>31</v>
      </c>
      <c r="G158" s="1">
        <v>1</v>
      </c>
      <c r="H158" s="1">
        <v>11950</v>
      </c>
      <c r="I158" s="1">
        <v>11950</v>
      </c>
      <c r="J158" s="1">
        <v>9200</v>
      </c>
      <c r="K158" s="1">
        <v>2750</v>
      </c>
      <c r="L158" s="1">
        <v>14500</v>
      </c>
      <c r="M158" s="1" t="s">
        <v>19</v>
      </c>
      <c r="N158" s="1" t="s">
        <v>20</v>
      </c>
      <c r="P158" s="29" t="str">
        <f t="shared" si="22"/>
        <v>ORD1060</v>
      </c>
      <c r="Q158" s="29" t="str">
        <f t="shared" si="23"/>
        <v>Priyanka Ghosh</v>
      </c>
      <c r="R158" s="29" t="str">
        <f t="shared" si="24"/>
        <v>Monitor</v>
      </c>
      <c r="S158" s="29" t="str">
        <f t="shared" si="25"/>
        <v>Electronics</v>
      </c>
      <c r="T158" s="29" t="str">
        <f t="shared" si="26"/>
        <v>South</v>
      </c>
      <c r="U158" s="29" t="str">
        <f t="shared" si="27"/>
        <v>Pooja Dey</v>
      </c>
      <c r="V158" s="29">
        <f t="shared" si="28"/>
        <v>1</v>
      </c>
      <c r="W158" s="29">
        <f t="shared" si="29"/>
        <v>11950</v>
      </c>
      <c r="X158" s="29">
        <f t="shared" si="30"/>
        <v>11950</v>
      </c>
      <c r="Y158" s="29">
        <v>9200</v>
      </c>
      <c r="Z158" s="29">
        <f t="shared" si="31"/>
        <v>2750</v>
      </c>
      <c r="AA158" s="29">
        <v>14500</v>
      </c>
      <c r="AB158" s="29" t="s">
        <v>19</v>
      </c>
      <c r="AC158" s="29" t="str">
        <f t="shared" si="32"/>
        <v>Delivered</v>
      </c>
    </row>
    <row r="159" spans="1:29" x14ac:dyDescent="0.3">
      <c r="A159" s="1" t="s">
        <v>339</v>
      </c>
      <c r="B159" s="1" t="s">
        <v>340</v>
      </c>
      <c r="C159" s="1" t="s">
        <v>22</v>
      </c>
      <c r="D159" s="1" t="s">
        <v>23</v>
      </c>
      <c r="E159" s="1" t="s">
        <v>41</v>
      </c>
      <c r="F159" s="1" t="s">
        <v>42</v>
      </c>
      <c r="G159" s="1">
        <v>26</v>
      </c>
      <c r="H159" s="1">
        <v>150</v>
      </c>
      <c r="I159" s="1">
        <v>3900</v>
      </c>
      <c r="J159" s="1">
        <v>1600</v>
      </c>
      <c r="K159" s="1">
        <v>2300</v>
      </c>
      <c r="L159" s="1">
        <v>4500</v>
      </c>
      <c r="M159" s="1" t="s">
        <v>26</v>
      </c>
      <c r="N159" s="1" t="s">
        <v>20</v>
      </c>
      <c r="P159" s="29" t="str">
        <f t="shared" si="22"/>
        <v>ORD1182</v>
      </c>
      <c r="Q159" s="29" t="str">
        <f t="shared" si="23"/>
        <v>Meenakshi Sen</v>
      </c>
      <c r="R159" s="29" t="str">
        <f t="shared" si="24"/>
        <v>Pen Pack</v>
      </c>
      <c r="S159" s="29" t="str">
        <f t="shared" si="25"/>
        <v>Stationery</v>
      </c>
      <c r="T159" s="29" t="str">
        <f t="shared" si="26"/>
        <v>North</v>
      </c>
      <c r="U159" s="29" t="str">
        <f t="shared" si="27"/>
        <v>Sneha Roy</v>
      </c>
      <c r="V159" s="29">
        <f t="shared" si="28"/>
        <v>26</v>
      </c>
      <c r="W159" s="29">
        <f t="shared" si="29"/>
        <v>150</v>
      </c>
      <c r="X159" s="29">
        <f t="shared" si="30"/>
        <v>3900</v>
      </c>
      <c r="Y159" s="29">
        <v>1600</v>
      </c>
      <c r="Z159" s="29">
        <f t="shared" si="31"/>
        <v>2300</v>
      </c>
      <c r="AA159" s="29">
        <v>4500</v>
      </c>
      <c r="AB159" s="29" t="s">
        <v>26</v>
      </c>
      <c r="AC159" s="29" t="str">
        <f t="shared" si="32"/>
        <v>Delivered</v>
      </c>
    </row>
    <row r="160" spans="1:29" x14ac:dyDescent="0.3">
      <c r="A160" s="1" t="s">
        <v>341</v>
      </c>
      <c r="B160" s="1" t="s">
        <v>342</v>
      </c>
      <c r="C160" s="1" t="s">
        <v>88</v>
      </c>
      <c r="D160" s="1" t="s">
        <v>37</v>
      </c>
      <c r="E160" s="1" t="s">
        <v>30</v>
      </c>
      <c r="F160" s="1" t="s">
        <v>31</v>
      </c>
      <c r="G160" s="1">
        <v>2</v>
      </c>
      <c r="H160" s="1">
        <v>12280</v>
      </c>
      <c r="I160" s="1">
        <v>24560</v>
      </c>
      <c r="J160" s="1">
        <v>18850</v>
      </c>
      <c r="K160" s="1">
        <v>5710</v>
      </c>
      <c r="L160" s="1">
        <v>27000</v>
      </c>
      <c r="M160" s="1" t="s">
        <v>19</v>
      </c>
      <c r="N160" s="1" t="s">
        <v>20</v>
      </c>
      <c r="P160" s="29" t="str">
        <f t="shared" si="22"/>
        <v>ORD1132</v>
      </c>
      <c r="Q160" s="29" t="str">
        <f t="shared" si="23"/>
        <v>Kabir Ghosh</v>
      </c>
      <c r="R160" s="29" t="str">
        <f t="shared" si="24"/>
        <v>Monitor</v>
      </c>
      <c r="S160" s="29" t="str">
        <f t="shared" si="25"/>
        <v>Electronics</v>
      </c>
      <c r="T160" s="29" t="str">
        <f t="shared" si="26"/>
        <v>South</v>
      </c>
      <c r="U160" s="29" t="str">
        <f t="shared" si="27"/>
        <v>Pooja Dey</v>
      </c>
      <c r="V160" s="29">
        <f t="shared" si="28"/>
        <v>2</v>
      </c>
      <c r="W160" s="29">
        <f t="shared" si="29"/>
        <v>12280</v>
      </c>
      <c r="X160" s="29">
        <f t="shared" si="30"/>
        <v>24560</v>
      </c>
      <c r="Y160" s="29">
        <v>18850</v>
      </c>
      <c r="Z160" s="29">
        <f t="shared" si="31"/>
        <v>5710</v>
      </c>
      <c r="AA160" s="29">
        <v>27000</v>
      </c>
      <c r="AB160" s="29" t="s">
        <v>19</v>
      </c>
      <c r="AC160" s="29" t="str">
        <f t="shared" si="32"/>
        <v>Delivered</v>
      </c>
    </row>
    <row r="161" spans="1:29" x14ac:dyDescent="0.3">
      <c r="A161" s="1" t="s">
        <v>343</v>
      </c>
      <c r="B161" s="1" t="s">
        <v>344</v>
      </c>
      <c r="C161" s="1"/>
      <c r="D161" s="1" t="s">
        <v>16</v>
      </c>
      <c r="E161" s="1" t="s">
        <v>41</v>
      </c>
      <c r="F161" s="1" t="s">
        <v>42</v>
      </c>
      <c r="G161" s="1">
        <v>2</v>
      </c>
      <c r="H161" s="1">
        <v>11500</v>
      </c>
      <c r="I161" s="1">
        <v>23000</v>
      </c>
      <c r="J161" s="1">
        <v>17500</v>
      </c>
      <c r="K161" s="1">
        <v>5500</v>
      </c>
      <c r="L161" s="1">
        <v>25000</v>
      </c>
      <c r="M161" s="1" t="s">
        <v>28</v>
      </c>
      <c r="N161" s="1" t="s">
        <v>20</v>
      </c>
      <c r="P161" s="29" t="str">
        <f t="shared" si="22"/>
        <v xml:space="preserve">  ORD1018  </v>
      </c>
      <c r="Q161" s="29" t="str">
        <f t="shared" si="23"/>
        <v>Nikita Basu</v>
      </c>
      <c r="R161" s="29" t="str">
        <f t="shared" si="24"/>
        <v>UNKNOWN</v>
      </c>
      <c r="S161" s="29" t="str">
        <f t="shared" si="25"/>
        <v>Furniture</v>
      </c>
      <c r="T161" s="29" t="str">
        <f t="shared" si="26"/>
        <v>North</v>
      </c>
      <c r="U161" s="29" t="str">
        <f t="shared" si="27"/>
        <v>Sneha Roy</v>
      </c>
      <c r="V161" s="29">
        <f t="shared" si="28"/>
        <v>2</v>
      </c>
      <c r="W161" s="29">
        <f t="shared" si="29"/>
        <v>11500</v>
      </c>
      <c r="X161" s="29">
        <f t="shared" si="30"/>
        <v>23000</v>
      </c>
      <c r="Y161" s="29">
        <v>17500</v>
      </c>
      <c r="Z161" s="29">
        <f t="shared" si="31"/>
        <v>5500</v>
      </c>
      <c r="AA161" s="29">
        <v>25000</v>
      </c>
      <c r="AB161" s="29" t="s">
        <v>28</v>
      </c>
      <c r="AC161" s="29" t="str">
        <f t="shared" si="32"/>
        <v>Delivered</v>
      </c>
    </row>
    <row r="162" spans="1:29" x14ac:dyDescent="0.3">
      <c r="A162" s="1" t="s">
        <v>345</v>
      </c>
      <c r="B162" s="1" t="s">
        <v>346</v>
      </c>
      <c r="C162" s="1" t="s">
        <v>99</v>
      </c>
      <c r="D162" s="1" t="s">
        <v>23</v>
      </c>
      <c r="E162" s="1" t="s">
        <v>17</v>
      </c>
      <c r="F162" s="1" t="s">
        <v>18</v>
      </c>
      <c r="G162" s="1">
        <v>30</v>
      </c>
      <c r="H162" s="1">
        <v>104</v>
      </c>
      <c r="I162" s="1">
        <v>3120</v>
      </c>
      <c r="J162" s="1">
        <v>1450</v>
      </c>
      <c r="K162" s="1">
        <v>1670</v>
      </c>
      <c r="L162" s="1">
        <v>3900</v>
      </c>
      <c r="M162" s="1" t="s">
        <v>26</v>
      </c>
      <c r="N162" s="1" t="s">
        <v>20</v>
      </c>
      <c r="P162" s="29" t="str">
        <f t="shared" si="22"/>
        <v>ORD1167</v>
      </c>
      <c r="Q162" s="29" t="str">
        <f t="shared" si="23"/>
        <v>Ayush Sen</v>
      </c>
      <c r="R162" s="29" t="str">
        <f t="shared" si="24"/>
        <v>Notebook</v>
      </c>
      <c r="S162" s="29" t="str">
        <f t="shared" si="25"/>
        <v>Stationery</v>
      </c>
      <c r="T162" s="29" t="str">
        <f t="shared" si="26"/>
        <v>West</v>
      </c>
      <c r="U162" s="29" t="str">
        <f t="shared" si="27"/>
        <v>Amit Paul</v>
      </c>
      <c r="V162" s="29">
        <f t="shared" si="28"/>
        <v>30</v>
      </c>
      <c r="W162" s="29">
        <f t="shared" si="29"/>
        <v>104</v>
      </c>
      <c r="X162" s="29">
        <f t="shared" si="30"/>
        <v>3120</v>
      </c>
      <c r="Y162" s="29">
        <v>1450</v>
      </c>
      <c r="Z162" s="29">
        <f t="shared" si="31"/>
        <v>1670</v>
      </c>
      <c r="AA162" s="29">
        <v>3900</v>
      </c>
      <c r="AB162" s="29" t="s">
        <v>26</v>
      </c>
      <c r="AC162" s="29" t="str">
        <f t="shared" si="32"/>
        <v>Delivered</v>
      </c>
    </row>
    <row r="163" spans="1:29" x14ac:dyDescent="0.3">
      <c r="A163" s="1" t="s">
        <v>347</v>
      </c>
      <c r="B163" s="1" t="s">
        <v>348</v>
      </c>
      <c r="C163" s="1" t="s">
        <v>40</v>
      </c>
      <c r="D163" s="1" t="s">
        <v>16</v>
      </c>
      <c r="E163" s="1" t="s">
        <v>24</v>
      </c>
      <c r="F163" s="1" t="s">
        <v>25</v>
      </c>
      <c r="G163" s="1">
        <v>2</v>
      </c>
      <c r="H163" s="1">
        <v>6700</v>
      </c>
      <c r="I163" s="1">
        <v>13400</v>
      </c>
      <c r="J163" s="1">
        <v>9900</v>
      </c>
      <c r="K163" s="1">
        <v>3500</v>
      </c>
      <c r="L163" s="1">
        <v>15000</v>
      </c>
      <c r="M163" s="1" t="s">
        <v>28</v>
      </c>
      <c r="N163" s="1" t="s">
        <v>20</v>
      </c>
      <c r="P163" s="29" t="str">
        <f t="shared" si="22"/>
        <v>ORD1073</v>
      </c>
      <c r="Q163" s="29" t="str">
        <f t="shared" si="23"/>
        <v>Sagnik Chatterjee</v>
      </c>
      <c r="R163" s="29" t="str">
        <f t="shared" si="24"/>
        <v>Office Chair</v>
      </c>
      <c r="S163" s="29" t="str">
        <f t="shared" si="25"/>
        <v>Furniture</v>
      </c>
      <c r="T163" s="29" t="str">
        <f t="shared" si="26"/>
        <v>East</v>
      </c>
      <c r="U163" s="29" t="str">
        <f t="shared" si="27"/>
        <v>Rahul Das</v>
      </c>
      <c r="V163" s="29">
        <f t="shared" si="28"/>
        <v>2</v>
      </c>
      <c r="W163" s="29">
        <f t="shared" si="29"/>
        <v>6700</v>
      </c>
      <c r="X163" s="29">
        <f t="shared" si="30"/>
        <v>13400</v>
      </c>
      <c r="Y163" s="29">
        <v>9900</v>
      </c>
      <c r="Z163" s="29">
        <f t="shared" si="31"/>
        <v>3500</v>
      </c>
      <c r="AA163" s="29">
        <v>15000</v>
      </c>
      <c r="AB163" s="29" t="s">
        <v>28</v>
      </c>
      <c r="AC163" s="29" t="str">
        <f t="shared" si="32"/>
        <v>Delivered</v>
      </c>
    </row>
    <row r="164" spans="1:29" x14ac:dyDescent="0.3">
      <c r="A164" s="1" t="s">
        <v>349</v>
      </c>
      <c r="B164" s="1" t="s">
        <v>216</v>
      </c>
      <c r="C164" s="1" t="s">
        <v>88</v>
      </c>
      <c r="D164" s="1" t="s">
        <v>37</v>
      </c>
      <c r="E164" s="1" t="s">
        <v>41</v>
      </c>
      <c r="F164" s="1" t="s">
        <v>42</v>
      </c>
      <c r="G164" s="1">
        <v>3</v>
      </c>
      <c r="H164" s="1">
        <v>12390</v>
      </c>
      <c r="I164" s="1">
        <v>37170</v>
      </c>
      <c r="J164" s="1">
        <v>28620</v>
      </c>
      <c r="K164" s="1">
        <v>8550</v>
      </c>
      <c r="L164" s="1">
        <v>41000</v>
      </c>
      <c r="M164" s="1" t="s">
        <v>19</v>
      </c>
      <c r="N164" s="1" t="s">
        <v>20</v>
      </c>
      <c r="P164" s="29" t="str">
        <f t="shared" si="22"/>
        <v>ORD1186</v>
      </c>
      <c r="Q164" s="29" t="str">
        <f t="shared" si="23"/>
        <v>Tania Ghosh</v>
      </c>
      <c r="R164" s="29" t="str">
        <f t="shared" si="24"/>
        <v>Monitor</v>
      </c>
      <c r="S164" s="29" t="str">
        <f t="shared" si="25"/>
        <v>Electronics</v>
      </c>
      <c r="T164" s="29" t="str">
        <f t="shared" si="26"/>
        <v>North</v>
      </c>
      <c r="U164" s="29" t="str">
        <f t="shared" si="27"/>
        <v>Sneha Roy</v>
      </c>
      <c r="V164" s="29">
        <f t="shared" si="28"/>
        <v>3</v>
      </c>
      <c r="W164" s="29">
        <f t="shared" si="29"/>
        <v>12390</v>
      </c>
      <c r="X164" s="29">
        <f t="shared" si="30"/>
        <v>37170</v>
      </c>
      <c r="Y164" s="29">
        <v>28620</v>
      </c>
      <c r="Z164" s="29">
        <f t="shared" si="31"/>
        <v>8550</v>
      </c>
      <c r="AA164" s="29">
        <v>41000</v>
      </c>
      <c r="AB164" s="29" t="s">
        <v>19</v>
      </c>
      <c r="AC164" s="29" t="str">
        <f t="shared" si="32"/>
        <v>Delivered</v>
      </c>
    </row>
    <row r="165" spans="1:29" x14ac:dyDescent="0.3">
      <c r="A165" s="1" t="s">
        <v>350</v>
      </c>
      <c r="B165" s="1" t="s">
        <v>351</v>
      </c>
      <c r="C165" s="1"/>
      <c r="D165" s="1" t="s">
        <v>37</v>
      </c>
      <c r="E165" s="1" t="s">
        <v>17</v>
      </c>
      <c r="F165" s="1" t="s">
        <v>18</v>
      </c>
      <c r="G165" s="1">
        <v>1</v>
      </c>
      <c r="H165" s="1">
        <v>58100</v>
      </c>
      <c r="I165" s="1">
        <v>58100</v>
      </c>
      <c r="J165" s="1">
        <v>46500</v>
      </c>
      <c r="K165" s="1">
        <v>11600</v>
      </c>
      <c r="L165" s="1">
        <v>65000</v>
      </c>
      <c r="M165" s="1" t="s">
        <v>19</v>
      </c>
      <c r="N165" s="1" t="s">
        <v>20</v>
      </c>
      <c r="P165" s="29" t="str">
        <f t="shared" si="22"/>
        <v>ORD1135</v>
      </c>
      <c r="Q165" s="29" t="str">
        <f t="shared" si="23"/>
        <v>Sourav Jain</v>
      </c>
      <c r="R165" s="29" t="str">
        <f t="shared" si="24"/>
        <v>UNKNOWN</v>
      </c>
      <c r="S165" s="29" t="str">
        <f t="shared" si="25"/>
        <v>Electronics</v>
      </c>
      <c r="T165" s="29" t="str">
        <f t="shared" si="26"/>
        <v>West</v>
      </c>
      <c r="U165" s="29" t="str">
        <f t="shared" si="27"/>
        <v>Amit Paul</v>
      </c>
      <c r="V165" s="29">
        <f t="shared" si="28"/>
        <v>1</v>
      </c>
      <c r="W165" s="29">
        <f t="shared" si="29"/>
        <v>58100</v>
      </c>
      <c r="X165" s="29">
        <f t="shared" si="30"/>
        <v>58100</v>
      </c>
      <c r="Y165" s="29">
        <v>46500</v>
      </c>
      <c r="Z165" s="29">
        <f t="shared" si="31"/>
        <v>11600</v>
      </c>
      <c r="AA165" s="29">
        <v>65000</v>
      </c>
      <c r="AB165" s="29" t="s">
        <v>19</v>
      </c>
      <c r="AC165" s="29" t="str">
        <f t="shared" si="32"/>
        <v>Delivered</v>
      </c>
    </row>
    <row r="166" spans="1:29" x14ac:dyDescent="0.3">
      <c r="A166" s="1" t="s">
        <v>352</v>
      </c>
      <c r="B166" s="1" t="s">
        <v>353</v>
      </c>
      <c r="C166" s="1" t="s">
        <v>99</v>
      </c>
      <c r="D166" s="1" t="s">
        <v>23</v>
      </c>
      <c r="E166" s="1" t="s">
        <v>30</v>
      </c>
      <c r="F166" s="1" t="s">
        <v>31</v>
      </c>
      <c r="G166" s="1">
        <v>27</v>
      </c>
      <c r="H166" s="1">
        <v>105</v>
      </c>
      <c r="I166" s="1">
        <v>2835</v>
      </c>
      <c r="J166" s="1">
        <v>1350</v>
      </c>
      <c r="K166" s="1">
        <v>1485</v>
      </c>
      <c r="L166" s="1">
        <v>3500</v>
      </c>
      <c r="M166" s="1" t="s">
        <v>26</v>
      </c>
      <c r="N166" s="1" t="s">
        <v>20</v>
      </c>
      <c r="P166" s="29" t="str">
        <f t="shared" si="22"/>
        <v>ORD1176</v>
      </c>
      <c r="Q166" s="29" t="str">
        <f t="shared" si="23"/>
        <v>Priyanka Saha</v>
      </c>
      <c r="R166" s="29" t="str">
        <f t="shared" si="24"/>
        <v>Notebook</v>
      </c>
      <c r="S166" s="29" t="str">
        <f t="shared" si="25"/>
        <v>Stationery</v>
      </c>
      <c r="T166" s="29" t="str">
        <f t="shared" si="26"/>
        <v>South</v>
      </c>
      <c r="U166" s="29" t="str">
        <f t="shared" si="27"/>
        <v>Pooja Dey</v>
      </c>
      <c r="V166" s="29">
        <f t="shared" si="28"/>
        <v>27</v>
      </c>
      <c r="W166" s="29">
        <f t="shared" si="29"/>
        <v>105</v>
      </c>
      <c r="X166" s="29">
        <f t="shared" si="30"/>
        <v>2835</v>
      </c>
      <c r="Y166" s="29">
        <v>1350</v>
      </c>
      <c r="Z166" s="29">
        <f t="shared" si="31"/>
        <v>1485</v>
      </c>
      <c r="AA166" s="29">
        <v>3500</v>
      </c>
      <c r="AB166" s="29" t="s">
        <v>26</v>
      </c>
      <c r="AC166" s="29" t="str">
        <f t="shared" si="32"/>
        <v>Delivered</v>
      </c>
    </row>
    <row r="167" spans="1:29" x14ac:dyDescent="0.3">
      <c r="A167" s="1" t="s">
        <v>354</v>
      </c>
      <c r="B167" s="1" t="s">
        <v>204</v>
      </c>
      <c r="C167" s="1" t="s">
        <v>99</v>
      </c>
      <c r="D167" s="1" t="s">
        <v>23</v>
      </c>
      <c r="E167" s="1" t="s">
        <v>41</v>
      </c>
      <c r="F167" s="1" t="s">
        <v>42</v>
      </c>
      <c r="G167" s="1">
        <v>28</v>
      </c>
      <c r="H167" s="1">
        <v>103</v>
      </c>
      <c r="I167" s="1">
        <v>2884</v>
      </c>
      <c r="J167" s="1">
        <v>1380</v>
      </c>
      <c r="K167" s="1">
        <v>1504</v>
      </c>
      <c r="L167" s="1">
        <v>3600</v>
      </c>
      <c r="M167" s="1" t="s">
        <v>26</v>
      </c>
      <c r="N167" s="1" t="s">
        <v>20</v>
      </c>
      <c r="P167" s="29" t="str">
        <f t="shared" si="22"/>
        <v>ORD1194</v>
      </c>
      <c r="Q167" s="29" t="str">
        <f t="shared" si="23"/>
        <v>Priyanka Roy</v>
      </c>
      <c r="R167" s="29" t="str">
        <f t="shared" si="24"/>
        <v>Notebook</v>
      </c>
      <c r="S167" s="29" t="str">
        <f t="shared" si="25"/>
        <v>Stationery</v>
      </c>
      <c r="T167" s="29" t="str">
        <f t="shared" si="26"/>
        <v>North</v>
      </c>
      <c r="U167" s="29" t="str">
        <f t="shared" si="27"/>
        <v>Sneha Roy</v>
      </c>
      <c r="V167" s="29">
        <f t="shared" si="28"/>
        <v>28</v>
      </c>
      <c r="W167" s="29">
        <f t="shared" si="29"/>
        <v>103</v>
      </c>
      <c r="X167" s="29">
        <f t="shared" si="30"/>
        <v>2884</v>
      </c>
      <c r="Y167" s="29">
        <v>1380</v>
      </c>
      <c r="Z167" s="29">
        <f t="shared" si="31"/>
        <v>1504</v>
      </c>
      <c r="AA167" s="29">
        <v>3600</v>
      </c>
      <c r="AB167" s="29" t="s">
        <v>26</v>
      </c>
      <c r="AC167" s="29" t="str">
        <f t="shared" si="32"/>
        <v>Delivered</v>
      </c>
    </row>
    <row r="168" spans="1:29" x14ac:dyDescent="0.3">
      <c r="A168" s="1" t="s">
        <v>355</v>
      </c>
      <c r="B168" s="1" t="s">
        <v>356</v>
      </c>
      <c r="C168" s="1" t="s">
        <v>40</v>
      </c>
      <c r="D168" s="1" t="s">
        <v>16</v>
      </c>
      <c r="E168" s="1" t="s">
        <v>30</v>
      </c>
      <c r="F168" s="1" t="s">
        <v>31</v>
      </c>
      <c r="G168" s="1">
        <v>3</v>
      </c>
      <c r="H168" s="1">
        <v>6850</v>
      </c>
      <c r="I168" s="1">
        <v>20550</v>
      </c>
      <c r="J168" s="1">
        <v>15200</v>
      </c>
      <c r="K168" s="1">
        <v>5350</v>
      </c>
      <c r="L168" s="1">
        <v>23000</v>
      </c>
      <c r="M168" s="1" t="s">
        <v>28</v>
      </c>
      <c r="N168" s="1" t="s">
        <v>43</v>
      </c>
      <c r="P168" s="29" t="str">
        <f t="shared" si="22"/>
        <v>ORD1064</v>
      </c>
      <c r="Q168" s="29" t="str">
        <f t="shared" si="23"/>
        <v>Ipsita Sen</v>
      </c>
      <c r="R168" s="29" t="str">
        <f t="shared" si="24"/>
        <v>Office Chair</v>
      </c>
      <c r="S168" s="29" t="str">
        <f t="shared" si="25"/>
        <v>Furniture</v>
      </c>
      <c r="T168" s="29" t="str">
        <f t="shared" si="26"/>
        <v>South</v>
      </c>
      <c r="U168" s="29" t="str">
        <f t="shared" si="27"/>
        <v>Pooja Dey</v>
      </c>
      <c r="V168" s="29">
        <f t="shared" si="28"/>
        <v>3</v>
      </c>
      <c r="W168" s="29">
        <f t="shared" si="29"/>
        <v>6850</v>
      </c>
      <c r="X168" s="29">
        <f t="shared" si="30"/>
        <v>20550</v>
      </c>
      <c r="Y168" s="29">
        <v>15200</v>
      </c>
      <c r="Z168" s="29">
        <f t="shared" si="31"/>
        <v>5350</v>
      </c>
      <c r="AA168" s="29">
        <v>23000</v>
      </c>
      <c r="AB168" s="29" t="s">
        <v>28</v>
      </c>
      <c r="AC168" s="29" t="str">
        <f t="shared" si="32"/>
        <v>Pending</v>
      </c>
    </row>
    <row r="169" spans="1:29" x14ac:dyDescent="0.3">
      <c r="A169" s="1" t="s">
        <v>357</v>
      </c>
      <c r="B169" s="1" t="s">
        <v>358</v>
      </c>
      <c r="C169" s="1" t="s">
        <v>40</v>
      </c>
      <c r="D169" s="1" t="s">
        <v>16</v>
      </c>
      <c r="E169" s="1" t="s">
        <v>17</v>
      </c>
      <c r="F169" s="1" t="s">
        <v>18</v>
      </c>
      <c r="G169" s="1">
        <v>2</v>
      </c>
      <c r="H169" s="1">
        <v>6750</v>
      </c>
      <c r="I169" s="1">
        <v>13500</v>
      </c>
      <c r="J169" s="1">
        <v>10000</v>
      </c>
      <c r="K169" s="1">
        <v>3500</v>
      </c>
      <c r="L169" s="1" t="s">
        <v>28</v>
      </c>
      <c r="M169" s="1" t="s">
        <v>20</v>
      </c>
      <c r="N169" s="1"/>
      <c r="P169" s="29" t="str">
        <f t="shared" si="22"/>
        <v>ORD1055</v>
      </c>
      <c r="Q169" s="29" t="str">
        <f t="shared" si="23"/>
        <v>Vivek Agarwal</v>
      </c>
      <c r="R169" s="29" t="str">
        <f t="shared" si="24"/>
        <v>Office Chair</v>
      </c>
      <c r="S169" s="29" t="str">
        <f t="shared" si="25"/>
        <v>Furniture</v>
      </c>
      <c r="T169" s="29" t="str">
        <f t="shared" si="26"/>
        <v>West</v>
      </c>
      <c r="U169" s="29" t="str">
        <f t="shared" si="27"/>
        <v>Amit Paul</v>
      </c>
      <c r="V169" s="29">
        <f t="shared" si="28"/>
        <v>2</v>
      </c>
      <c r="W169" s="29">
        <f t="shared" si="29"/>
        <v>6750</v>
      </c>
      <c r="X169" s="29">
        <f t="shared" si="30"/>
        <v>13500</v>
      </c>
      <c r="Y169" s="29">
        <v>10000</v>
      </c>
      <c r="Z169" s="29">
        <f t="shared" si="31"/>
        <v>3500</v>
      </c>
      <c r="AA169" s="29" t="s">
        <v>28</v>
      </c>
      <c r="AB169" s="29" t="s">
        <v>20</v>
      </c>
      <c r="AC169" s="29" t="str">
        <f t="shared" si="32"/>
        <v>Processing</v>
      </c>
    </row>
    <row r="170" spans="1:29" x14ac:dyDescent="0.3">
      <c r="A170" s="1" t="s">
        <v>359</v>
      </c>
      <c r="B170" s="1" t="s">
        <v>360</v>
      </c>
      <c r="C170" s="1" t="s">
        <v>56</v>
      </c>
      <c r="D170" s="1" t="s">
        <v>37</v>
      </c>
      <c r="E170" s="1" t="s">
        <v>30</v>
      </c>
      <c r="F170" s="1" t="s">
        <v>31</v>
      </c>
      <c r="G170" s="1">
        <v>2</v>
      </c>
      <c r="H170" s="1">
        <v>57100</v>
      </c>
      <c r="I170" s="1">
        <v>114200</v>
      </c>
      <c r="J170" s="1">
        <v>94800</v>
      </c>
      <c r="K170" s="1">
        <v>19400</v>
      </c>
      <c r="L170" s="1">
        <v>126000</v>
      </c>
      <c r="M170" s="1" t="s">
        <v>19</v>
      </c>
      <c r="N170" s="1" t="s">
        <v>20</v>
      </c>
      <c r="P170" s="29" t="str">
        <f t="shared" si="22"/>
        <v>ORD1108</v>
      </c>
      <c r="Q170" s="29" t="str">
        <f t="shared" si="23"/>
        <v>Priya Das</v>
      </c>
      <c r="R170" s="29" t="str">
        <f t="shared" si="24"/>
        <v>Laptop</v>
      </c>
      <c r="S170" s="29" t="str">
        <f t="shared" si="25"/>
        <v>Electronics</v>
      </c>
      <c r="T170" s="29" t="str">
        <f t="shared" si="26"/>
        <v>South</v>
      </c>
      <c r="U170" s="29" t="str">
        <f t="shared" si="27"/>
        <v>Pooja Dey</v>
      </c>
      <c r="V170" s="29">
        <f t="shared" si="28"/>
        <v>2</v>
      </c>
      <c r="W170" s="29">
        <f t="shared" si="29"/>
        <v>57100</v>
      </c>
      <c r="X170" s="29">
        <f t="shared" si="30"/>
        <v>114200</v>
      </c>
      <c r="Y170" s="29">
        <v>94800</v>
      </c>
      <c r="Z170" s="29">
        <f t="shared" si="31"/>
        <v>19400</v>
      </c>
      <c r="AA170" s="29">
        <v>126000</v>
      </c>
      <c r="AB170" s="29" t="s">
        <v>19</v>
      </c>
      <c r="AC170" s="29" t="str">
        <f t="shared" si="32"/>
        <v>Delivered</v>
      </c>
    </row>
    <row r="171" spans="1:29" x14ac:dyDescent="0.3">
      <c r="A171" s="1" t="s">
        <v>361</v>
      </c>
      <c r="B171" s="1" t="s">
        <v>362</v>
      </c>
      <c r="C171" s="1" t="s">
        <v>88</v>
      </c>
      <c r="D171" s="1" t="s">
        <v>37</v>
      </c>
      <c r="E171" s="1" t="s">
        <v>17</v>
      </c>
      <c r="F171" s="1" t="s">
        <v>18</v>
      </c>
      <c r="G171" s="1">
        <v>3</v>
      </c>
      <c r="H171" s="1">
        <v>12400</v>
      </c>
      <c r="I171" s="1">
        <v>37200</v>
      </c>
      <c r="J171" s="1">
        <v>28700</v>
      </c>
      <c r="K171" s="1">
        <v>8500</v>
      </c>
      <c r="L171" s="1">
        <v>41000</v>
      </c>
      <c r="M171" s="1" t="s">
        <v>19</v>
      </c>
      <c r="N171" s="1" t="s">
        <v>20</v>
      </c>
      <c r="P171" s="29" t="str">
        <f t="shared" si="22"/>
        <v>ORD1051</v>
      </c>
      <c r="Q171" s="29" t="str">
        <f t="shared" si="23"/>
        <v>Parth Sinha</v>
      </c>
      <c r="R171" s="29" t="str">
        <f t="shared" si="24"/>
        <v>Monitor</v>
      </c>
      <c r="S171" s="29" t="str">
        <f t="shared" si="25"/>
        <v>Electronics</v>
      </c>
      <c r="T171" s="29" t="str">
        <f t="shared" si="26"/>
        <v>West</v>
      </c>
      <c r="U171" s="29" t="str">
        <f t="shared" si="27"/>
        <v>Amit Paul</v>
      </c>
      <c r="V171" s="29">
        <f t="shared" si="28"/>
        <v>3</v>
      </c>
      <c r="W171" s="29">
        <f t="shared" si="29"/>
        <v>12400</v>
      </c>
      <c r="X171" s="29">
        <f t="shared" si="30"/>
        <v>37200</v>
      </c>
      <c r="Y171" s="29">
        <v>28700</v>
      </c>
      <c r="Z171" s="29">
        <f t="shared" si="31"/>
        <v>8500</v>
      </c>
      <c r="AA171" s="29">
        <v>41000</v>
      </c>
      <c r="AB171" s="29" t="s">
        <v>19</v>
      </c>
      <c r="AC171" s="29" t="str">
        <f t="shared" si="32"/>
        <v>Delivered</v>
      </c>
    </row>
    <row r="172" spans="1:29" x14ac:dyDescent="0.3">
      <c r="A172" s="1" t="s">
        <v>363</v>
      </c>
      <c r="B172" s="1" t="s">
        <v>364</v>
      </c>
      <c r="C172" s="1" t="s">
        <v>47</v>
      </c>
      <c r="D172" s="1" t="s">
        <v>23</v>
      </c>
      <c r="E172" s="1" t="s">
        <v>41</v>
      </c>
      <c r="F172" s="1" t="s">
        <v>42</v>
      </c>
      <c r="G172" s="1">
        <v>18</v>
      </c>
      <c r="H172" s="1">
        <v>263</v>
      </c>
      <c r="I172" s="1">
        <v>4734</v>
      </c>
      <c r="J172" s="1">
        <v>1960</v>
      </c>
      <c r="K172" s="1">
        <v>2774</v>
      </c>
      <c r="L172" s="1">
        <v>5200</v>
      </c>
      <c r="M172" s="1" t="s">
        <v>26</v>
      </c>
      <c r="N172" s="1" t="s">
        <v>20</v>
      </c>
      <c r="P172" s="29" t="str">
        <f t="shared" si="22"/>
        <v>ORD1170</v>
      </c>
      <c r="Q172" s="29" t="str">
        <f t="shared" si="23"/>
        <v>Shruti Roy</v>
      </c>
      <c r="R172" s="29" t="str">
        <f t="shared" si="24"/>
        <v>Marker Set</v>
      </c>
      <c r="S172" s="29" t="str">
        <f t="shared" si="25"/>
        <v>Stationery</v>
      </c>
      <c r="T172" s="29" t="str">
        <f t="shared" si="26"/>
        <v>North</v>
      </c>
      <c r="U172" s="29" t="str">
        <f t="shared" si="27"/>
        <v>Sneha Roy</v>
      </c>
      <c r="V172" s="29">
        <f t="shared" si="28"/>
        <v>18</v>
      </c>
      <c r="W172" s="29">
        <f t="shared" si="29"/>
        <v>263</v>
      </c>
      <c r="X172" s="29">
        <f t="shared" si="30"/>
        <v>4734</v>
      </c>
      <c r="Y172" s="29">
        <v>1960</v>
      </c>
      <c r="Z172" s="29">
        <f t="shared" si="31"/>
        <v>2774</v>
      </c>
      <c r="AA172" s="29">
        <v>5200</v>
      </c>
      <c r="AB172" s="29" t="s">
        <v>26</v>
      </c>
      <c r="AC172" s="29" t="str">
        <f t="shared" si="32"/>
        <v>Delivered</v>
      </c>
    </row>
    <row r="173" spans="1:29" x14ac:dyDescent="0.3">
      <c r="A173" s="1" t="s">
        <v>365</v>
      </c>
      <c r="B173" s="1" t="s">
        <v>366</v>
      </c>
      <c r="C173" s="1"/>
      <c r="D173" s="1" t="s">
        <v>23</v>
      </c>
      <c r="E173" s="1" t="s">
        <v>17</v>
      </c>
      <c r="F173" s="1" t="s">
        <v>18</v>
      </c>
      <c r="G173" s="1">
        <v>28</v>
      </c>
      <c r="H173" s="1">
        <v>102</v>
      </c>
      <c r="I173" s="1">
        <v>2856</v>
      </c>
      <c r="J173" s="1">
        <v>1350</v>
      </c>
      <c r="K173" s="1">
        <v>1506</v>
      </c>
      <c r="L173" s="1">
        <v>3600</v>
      </c>
      <c r="M173" s="1" t="s">
        <v>26</v>
      </c>
      <c r="N173" s="1" t="s">
        <v>20</v>
      </c>
      <c r="P173" s="29" t="str">
        <f t="shared" si="22"/>
        <v>ORD1059</v>
      </c>
      <c r="Q173" s="29" t="str">
        <f t="shared" si="23"/>
        <v>Ankit Saha</v>
      </c>
      <c r="R173" s="29" t="str">
        <f t="shared" si="24"/>
        <v>UNKNOWN</v>
      </c>
      <c r="S173" s="29" t="str">
        <f t="shared" si="25"/>
        <v>Stationery</v>
      </c>
      <c r="T173" s="29" t="str">
        <f t="shared" si="26"/>
        <v>West</v>
      </c>
      <c r="U173" s="29" t="str">
        <f t="shared" si="27"/>
        <v>Amit Paul</v>
      </c>
      <c r="V173" s="29">
        <f t="shared" si="28"/>
        <v>28</v>
      </c>
      <c r="W173" s="29">
        <f t="shared" si="29"/>
        <v>102</v>
      </c>
      <c r="X173" s="29">
        <f t="shared" si="30"/>
        <v>2856</v>
      </c>
      <c r="Y173" s="29">
        <v>1350</v>
      </c>
      <c r="Z173" s="29">
        <f t="shared" si="31"/>
        <v>1506</v>
      </c>
      <c r="AA173" s="29">
        <v>3600</v>
      </c>
      <c r="AB173" s="29" t="s">
        <v>26</v>
      </c>
      <c r="AC173" s="29" t="str">
        <f t="shared" si="32"/>
        <v>Delivered</v>
      </c>
    </row>
    <row r="174" spans="1:29" x14ac:dyDescent="0.3">
      <c r="A174" s="1" t="s">
        <v>367</v>
      </c>
      <c r="B174" s="1" t="s">
        <v>368</v>
      </c>
      <c r="C174" s="1" t="s">
        <v>15</v>
      </c>
      <c r="D174" s="1" t="s">
        <v>16</v>
      </c>
      <c r="E174" s="1" t="s">
        <v>24</v>
      </c>
      <c r="F174" s="1" t="s">
        <v>25</v>
      </c>
      <c r="G174" s="1">
        <v>1</v>
      </c>
      <c r="H174" s="1">
        <v>9400</v>
      </c>
      <c r="I174" s="1">
        <v>9400</v>
      </c>
      <c r="J174" s="1">
        <v>7000</v>
      </c>
      <c r="K174" s="1">
        <v>2400</v>
      </c>
      <c r="L174" s="1" t="s">
        <v>28</v>
      </c>
      <c r="M174" s="1" t="s">
        <v>20</v>
      </c>
      <c r="N174" s="1"/>
      <c r="P174" s="29" t="str">
        <f t="shared" si="22"/>
        <v>ORD1049</v>
      </c>
      <c r="Q174" s="29" t="str">
        <f t="shared" si="23"/>
        <v>Rajat Dutta</v>
      </c>
      <c r="R174" s="29" t="str">
        <f t="shared" si="24"/>
        <v>Desk</v>
      </c>
      <c r="S174" s="29" t="str">
        <f t="shared" si="25"/>
        <v>Furniture</v>
      </c>
      <c r="T174" s="29" t="str">
        <f t="shared" si="26"/>
        <v>East</v>
      </c>
      <c r="U174" s="29" t="str">
        <f t="shared" si="27"/>
        <v>Rahul Das</v>
      </c>
      <c r="V174" s="29">
        <f t="shared" si="28"/>
        <v>1</v>
      </c>
      <c r="W174" s="29">
        <f t="shared" si="29"/>
        <v>9400</v>
      </c>
      <c r="X174" s="29">
        <f t="shared" si="30"/>
        <v>9400</v>
      </c>
      <c r="Y174" s="29">
        <v>7000</v>
      </c>
      <c r="Z174" s="29">
        <f t="shared" si="31"/>
        <v>2400</v>
      </c>
      <c r="AA174" s="29" t="s">
        <v>28</v>
      </c>
      <c r="AB174" s="29" t="s">
        <v>20</v>
      </c>
      <c r="AC174" s="29" t="str">
        <f t="shared" si="32"/>
        <v>Processing</v>
      </c>
    </row>
    <row r="175" spans="1:29" x14ac:dyDescent="0.3">
      <c r="A175" s="1" t="s">
        <v>369</v>
      </c>
      <c r="B175" s="1" t="s">
        <v>370</v>
      </c>
      <c r="C175" s="1" t="s">
        <v>47</v>
      </c>
      <c r="D175" s="1" t="s">
        <v>23</v>
      </c>
      <c r="E175" s="1" t="s">
        <v>24</v>
      </c>
      <c r="F175" s="1" t="s">
        <v>25</v>
      </c>
      <c r="G175" s="1">
        <v>23</v>
      </c>
      <c r="H175" s="1">
        <v>252</v>
      </c>
      <c r="I175" s="1">
        <v>5796</v>
      </c>
      <c r="J175" s="1">
        <v>2400</v>
      </c>
      <c r="K175" s="1">
        <v>3396</v>
      </c>
      <c r="L175" s="1">
        <v>6200</v>
      </c>
      <c r="M175" s="1" t="s">
        <v>26</v>
      </c>
      <c r="N175" s="1" t="s">
        <v>20</v>
      </c>
      <c r="P175" s="29" t="str">
        <f t="shared" si="22"/>
        <v>ORD1089</v>
      </c>
      <c r="Q175" s="29" t="str">
        <f t="shared" si="23"/>
        <v>Sourav Saha</v>
      </c>
      <c r="R175" s="29" t="str">
        <f t="shared" si="24"/>
        <v>Marker Set</v>
      </c>
      <c r="S175" s="29" t="str">
        <f t="shared" si="25"/>
        <v>Stationery</v>
      </c>
      <c r="T175" s="29" t="str">
        <f t="shared" si="26"/>
        <v>East</v>
      </c>
      <c r="U175" s="29" t="str">
        <f t="shared" si="27"/>
        <v>Rahul Das</v>
      </c>
      <c r="V175" s="29">
        <f t="shared" si="28"/>
        <v>23</v>
      </c>
      <c r="W175" s="29">
        <f t="shared" si="29"/>
        <v>252</v>
      </c>
      <c r="X175" s="29">
        <f t="shared" si="30"/>
        <v>5796</v>
      </c>
      <c r="Y175" s="29">
        <v>2400</v>
      </c>
      <c r="Z175" s="29">
        <f t="shared" si="31"/>
        <v>3396</v>
      </c>
      <c r="AA175" s="29">
        <v>6200</v>
      </c>
      <c r="AB175" s="29" t="s">
        <v>26</v>
      </c>
      <c r="AC175" s="29" t="str">
        <f t="shared" si="32"/>
        <v>Delivered</v>
      </c>
    </row>
    <row r="176" spans="1:29" x14ac:dyDescent="0.3">
      <c r="A176" s="1" t="s">
        <v>371</v>
      </c>
      <c r="B176" s="1" t="s">
        <v>372</v>
      </c>
      <c r="C176" s="1" t="s">
        <v>15</v>
      </c>
      <c r="D176" s="1" t="s">
        <v>16</v>
      </c>
      <c r="E176" s="1" t="s">
        <v>41</v>
      </c>
      <c r="F176" s="1" t="s">
        <v>42</v>
      </c>
      <c r="G176" s="1">
        <v>2</v>
      </c>
      <c r="H176" s="1">
        <v>9200</v>
      </c>
      <c r="I176" s="1">
        <v>18400</v>
      </c>
      <c r="J176" s="1">
        <v>13600</v>
      </c>
      <c r="K176" s="1">
        <v>4800</v>
      </c>
      <c r="L176" s="1">
        <v>21000</v>
      </c>
      <c r="M176" s="1" t="s">
        <v>19</v>
      </c>
      <c r="N176" s="1" t="s">
        <v>20</v>
      </c>
      <c r="P176" s="29" t="str">
        <f t="shared" si="22"/>
        <v>ORD1022</v>
      </c>
      <c r="Q176" s="29" t="str">
        <f t="shared" si="23"/>
        <v>Diya Mukherjee</v>
      </c>
      <c r="R176" s="29" t="str">
        <f t="shared" si="24"/>
        <v>Desk</v>
      </c>
      <c r="S176" s="29" t="str">
        <f t="shared" si="25"/>
        <v>Furniture</v>
      </c>
      <c r="T176" s="29" t="str">
        <f t="shared" si="26"/>
        <v>North</v>
      </c>
      <c r="U176" s="29" t="str">
        <f t="shared" si="27"/>
        <v>Sneha Roy</v>
      </c>
      <c r="V176" s="29">
        <f t="shared" si="28"/>
        <v>2</v>
      </c>
      <c r="W176" s="29">
        <f t="shared" si="29"/>
        <v>9200</v>
      </c>
      <c r="X176" s="29">
        <f t="shared" si="30"/>
        <v>18400</v>
      </c>
      <c r="Y176" s="29">
        <v>13600</v>
      </c>
      <c r="Z176" s="29">
        <f t="shared" si="31"/>
        <v>4800</v>
      </c>
      <c r="AA176" s="29">
        <v>21000</v>
      </c>
      <c r="AB176" s="29" t="s">
        <v>19</v>
      </c>
      <c r="AC176" s="29" t="str">
        <f t="shared" si="32"/>
        <v>Delivered</v>
      </c>
    </row>
    <row r="177" spans="1:29" x14ac:dyDescent="0.3">
      <c r="A177" s="1" t="s">
        <v>373</v>
      </c>
      <c r="B177" s="1" t="s">
        <v>374</v>
      </c>
      <c r="C177" s="1" t="s">
        <v>15</v>
      </c>
      <c r="D177" s="1" t="s">
        <v>16</v>
      </c>
      <c r="E177" s="1" t="s">
        <v>41</v>
      </c>
      <c r="F177" s="1" t="s">
        <v>42</v>
      </c>
      <c r="G177" s="1">
        <v>2</v>
      </c>
      <c r="H177" s="1">
        <v>9300</v>
      </c>
      <c r="I177" s="1">
        <v>18600</v>
      </c>
      <c r="J177" s="1">
        <v>13800</v>
      </c>
      <c r="K177" s="1">
        <v>4800</v>
      </c>
      <c r="L177" s="1" t="s">
        <v>28</v>
      </c>
      <c r="M177" s="1" t="s">
        <v>20</v>
      </c>
      <c r="N177" s="1"/>
      <c r="P177" s="29" t="str">
        <f t="shared" si="22"/>
        <v>ORD1058</v>
      </c>
      <c r="Q177" s="29" t="str">
        <f t="shared" si="23"/>
        <v>Snehal Roy</v>
      </c>
      <c r="R177" s="29" t="str">
        <f t="shared" si="24"/>
        <v>Desk</v>
      </c>
      <c r="S177" s="29" t="str">
        <f t="shared" si="25"/>
        <v>Furniture</v>
      </c>
      <c r="T177" s="29" t="str">
        <f t="shared" si="26"/>
        <v>North</v>
      </c>
      <c r="U177" s="29" t="str">
        <f t="shared" si="27"/>
        <v>Sneha Roy</v>
      </c>
      <c r="V177" s="29">
        <f t="shared" si="28"/>
        <v>2</v>
      </c>
      <c r="W177" s="29">
        <f t="shared" si="29"/>
        <v>9300</v>
      </c>
      <c r="X177" s="29">
        <f t="shared" si="30"/>
        <v>18600</v>
      </c>
      <c r="Y177" s="29">
        <v>13800</v>
      </c>
      <c r="Z177" s="29">
        <f t="shared" si="31"/>
        <v>4800</v>
      </c>
      <c r="AA177" s="29" t="s">
        <v>28</v>
      </c>
      <c r="AB177" s="29" t="s">
        <v>20</v>
      </c>
      <c r="AC177" s="29" t="str">
        <f t="shared" si="32"/>
        <v>Processing</v>
      </c>
    </row>
    <row r="178" spans="1:29" x14ac:dyDescent="0.3">
      <c r="A178" s="1" t="s">
        <v>375</v>
      </c>
      <c r="B178" s="1" t="s">
        <v>376</v>
      </c>
      <c r="C178" s="1" t="s">
        <v>47</v>
      </c>
      <c r="D178" s="1" t="s">
        <v>23</v>
      </c>
      <c r="E178" s="1" t="s">
        <v>24</v>
      </c>
      <c r="F178" s="1" t="s">
        <v>25</v>
      </c>
      <c r="G178" s="1">
        <v>21</v>
      </c>
      <c r="H178" s="1">
        <v>256</v>
      </c>
      <c r="I178" s="1">
        <v>5376</v>
      </c>
      <c r="J178" s="1">
        <v>2200</v>
      </c>
      <c r="K178" s="1">
        <v>3176</v>
      </c>
      <c r="L178" s="1">
        <v>5900</v>
      </c>
      <c r="M178" s="1" t="s">
        <v>26</v>
      </c>
      <c r="N178" s="1" t="s">
        <v>20</v>
      </c>
      <c r="P178" s="29" t="str">
        <f t="shared" si="22"/>
        <v>ORD1161</v>
      </c>
      <c r="Q178" s="29" t="str">
        <f t="shared" si="23"/>
        <v>Arjun Dutta</v>
      </c>
      <c r="R178" s="29" t="str">
        <f t="shared" si="24"/>
        <v>Marker Set</v>
      </c>
      <c r="S178" s="29" t="str">
        <f t="shared" si="25"/>
        <v>Stationery</v>
      </c>
      <c r="T178" s="29" t="str">
        <f t="shared" si="26"/>
        <v>East</v>
      </c>
      <c r="U178" s="29" t="str">
        <f t="shared" si="27"/>
        <v>Rahul Das</v>
      </c>
      <c r="V178" s="29">
        <f t="shared" si="28"/>
        <v>21</v>
      </c>
      <c r="W178" s="29">
        <f t="shared" si="29"/>
        <v>256</v>
      </c>
      <c r="X178" s="29">
        <f t="shared" si="30"/>
        <v>5376</v>
      </c>
      <c r="Y178" s="29">
        <v>2200</v>
      </c>
      <c r="Z178" s="29">
        <f t="shared" si="31"/>
        <v>3176</v>
      </c>
      <c r="AA178" s="29">
        <v>5900</v>
      </c>
      <c r="AB178" s="29" t="s">
        <v>26</v>
      </c>
      <c r="AC178" s="29" t="str">
        <f t="shared" si="32"/>
        <v>Delivered</v>
      </c>
    </row>
    <row r="179" spans="1:29" x14ac:dyDescent="0.3">
      <c r="A179" s="1" t="s">
        <v>14</v>
      </c>
      <c r="B179" s="1" t="s">
        <v>377</v>
      </c>
      <c r="C179" s="1" t="s">
        <v>15</v>
      </c>
      <c r="D179" s="1" t="s">
        <v>16</v>
      </c>
      <c r="E179" s="1" t="s">
        <v>17</v>
      </c>
      <c r="F179" s="1" t="s">
        <v>18</v>
      </c>
      <c r="G179" s="1">
        <v>1</v>
      </c>
      <c r="H179" s="1">
        <v>9700</v>
      </c>
      <c r="I179" s="1">
        <v>9700</v>
      </c>
      <c r="J179" s="1">
        <v>7300</v>
      </c>
      <c r="K179" s="1">
        <v>2400</v>
      </c>
      <c r="L179" s="1">
        <v>12000</v>
      </c>
      <c r="M179" s="1" t="s">
        <v>19</v>
      </c>
      <c r="N179" s="1" t="s">
        <v>20</v>
      </c>
      <c r="P179" s="29" t="str">
        <f t="shared" si="22"/>
        <v>ORD1031</v>
      </c>
      <c r="Q179" s="29" t="str">
        <f t="shared" si="23"/>
        <v>Kunal Agarwal</v>
      </c>
      <c r="R179" s="29" t="str">
        <f t="shared" si="24"/>
        <v>Desk</v>
      </c>
      <c r="S179" s="29" t="str">
        <f t="shared" si="25"/>
        <v>Furniture</v>
      </c>
      <c r="T179" s="29" t="str">
        <f t="shared" si="26"/>
        <v>West</v>
      </c>
      <c r="U179" s="29" t="str">
        <f t="shared" si="27"/>
        <v>Amit Paul</v>
      </c>
      <c r="V179" s="29">
        <f t="shared" si="28"/>
        <v>1</v>
      </c>
      <c r="W179" s="29">
        <f t="shared" si="29"/>
        <v>9700</v>
      </c>
      <c r="X179" s="29">
        <f t="shared" si="30"/>
        <v>9700</v>
      </c>
      <c r="Y179" s="29">
        <v>7300</v>
      </c>
      <c r="Z179" s="29">
        <f t="shared" si="31"/>
        <v>2400</v>
      </c>
      <c r="AA179" s="29">
        <v>12000</v>
      </c>
      <c r="AB179" s="29" t="s">
        <v>19</v>
      </c>
      <c r="AC179" s="29" t="str">
        <f t="shared" si="32"/>
        <v>Delivered</v>
      </c>
    </row>
    <row r="180" spans="1:29" x14ac:dyDescent="0.3">
      <c r="A180" s="1" t="s">
        <v>378</v>
      </c>
      <c r="B180" s="1" t="s">
        <v>379</v>
      </c>
      <c r="C180" s="1" t="s">
        <v>15</v>
      </c>
      <c r="D180" s="1" t="s">
        <v>16</v>
      </c>
      <c r="E180" s="1" t="s">
        <v>41</v>
      </c>
      <c r="F180" s="1" t="s">
        <v>42</v>
      </c>
      <c r="G180" s="1">
        <v>2</v>
      </c>
      <c r="H180" s="1">
        <v>9380</v>
      </c>
      <c r="I180" s="1">
        <v>18760</v>
      </c>
      <c r="J180" s="1">
        <v>13900</v>
      </c>
      <c r="K180" s="1">
        <v>4860</v>
      </c>
      <c r="L180" s="1">
        <v>21000</v>
      </c>
      <c r="M180" s="1" t="s">
        <v>28</v>
      </c>
      <c r="N180" s="1" t="s">
        <v>20</v>
      </c>
      <c r="P180" s="29" t="str">
        <f t="shared" si="22"/>
        <v>ORD1130</v>
      </c>
      <c r="Q180" s="29" t="str">
        <f t="shared" si="23"/>
        <v>Ritwik Sen</v>
      </c>
      <c r="R180" s="29" t="str">
        <f t="shared" si="24"/>
        <v>Desk</v>
      </c>
      <c r="S180" s="29" t="str">
        <f t="shared" si="25"/>
        <v>Furniture</v>
      </c>
      <c r="T180" s="29" t="str">
        <f t="shared" si="26"/>
        <v>North</v>
      </c>
      <c r="U180" s="29" t="str">
        <f t="shared" si="27"/>
        <v>Sneha Roy</v>
      </c>
      <c r="V180" s="29">
        <f t="shared" si="28"/>
        <v>2</v>
      </c>
      <c r="W180" s="29">
        <f t="shared" si="29"/>
        <v>9380</v>
      </c>
      <c r="X180" s="29">
        <f t="shared" si="30"/>
        <v>18760</v>
      </c>
      <c r="Y180" s="29">
        <v>13900</v>
      </c>
      <c r="Z180" s="29">
        <f t="shared" si="31"/>
        <v>4860</v>
      </c>
      <c r="AA180" s="29">
        <v>21000</v>
      </c>
      <c r="AB180" s="29" t="s">
        <v>28</v>
      </c>
      <c r="AC180" s="29" t="str">
        <f t="shared" si="32"/>
        <v>Delivered</v>
      </c>
    </row>
    <row r="181" spans="1:29" x14ac:dyDescent="0.3">
      <c r="A181" s="1" t="s">
        <v>380</v>
      </c>
      <c r="B181" s="1" t="s">
        <v>381</v>
      </c>
      <c r="C181" s="1" t="s">
        <v>22</v>
      </c>
      <c r="D181" s="1" t="s">
        <v>23</v>
      </c>
      <c r="E181" s="1" t="s">
        <v>41</v>
      </c>
      <c r="F181" s="1" t="s">
        <v>42</v>
      </c>
      <c r="G181" s="1">
        <v>24</v>
      </c>
      <c r="H181" s="1">
        <v>155</v>
      </c>
      <c r="I181" s="1">
        <v>3720</v>
      </c>
      <c r="J181" s="1">
        <v>1500</v>
      </c>
      <c r="K181" s="1">
        <v>2220</v>
      </c>
      <c r="L181" s="1">
        <v>4300</v>
      </c>
      <c r="M181" s="1" t="s">
        <v>28</v>
      </c>
      <c r="N181" s="1" t="s">
        <v>20</v>
      </c>
      <c r="P181" s="29" t="str">
        <f t="shared" si="22"/>
        <v>ORD1038</v>
      </c>
      <c r="Q181" s="29" t="str">
        <f t="shared" si="23"/>
        <v>Naina Verma</v>
      </c>
      <c r="R181" s="29" t="str">
        <f t="shared" si="24"/>
        <v>Pen Pack</v>
      </c>
      <c r="S181" s="29" t="str">
        <f t="shared" si="25"/>
        <v>Stationery</v>
      </c>
      <c r="T181" s="29" t="str">
        <f t="shared" si="26"/>
        <v>North</v>
      </c>
      <c r="U181" s="29" t="str">
        <f t="shared" si="27"/>
        <v>Sneha Roy</v>
      </c>
      <c r="V181" s="29">
        <f t="shared" si="28"/>
        <v>24</v>
      </c>
      <c r="W181" s="29">
        <f t="shared" si="29"/>
        <v>155</v>
      </c>
      <c r="X181" s="29">
        <f t="shared" si="30"/>
        <v>3720</v>
      </c>
      <c r="Y181" s="29">
        <v>1500</v>
      </c>
      <c r="Z181" s="29">
        <f t="shared" si="31"/>
        <v>2220</v>
      </c>
      <c r="AA181" s="29">
        <v>4300</v>
      </c>
      <c r="AB181" s="29" t="s">
        <v>28</v>
      </c>
      <c r="AC181" s="29" t="str">
        <f t="shared" si="32"/>
        <v>Delivered</v>
      </c>
    </row>
    <row r="182" spans="1:29" x14ac:dyDescent="0.3">
      <c r="A182" s="1" t="s">
        <v>382</v>
      </c>
      <c r="B182" s="1" t="s">
        <v>332</v>
      </c>
      <c r="C182" s="1" t="s">
        <v>99</v>
      </c>
      <c r="D182" s="1" t="s">
        <v>23</v>
      </c>
      <c r="E182" s="1" t="s">
        <v>41</v>
      </c>
      <c r="F182" s="1" t="s">
        <v>42</v>
      </c>
      <c r="G182" s="1">
        <v>32</v>
      </c>
      <c r="H182" s="1">
        <v>101</v>
      </c>
      <c r="I182" s="1">
        <v>3232</v>
      </c>
      <c r="J182" s="1">
        <v>1490</v>
      </c>
      <c r="K182" s="1">
        <v>1742</v>
      </c>
      <c r="L182" s="1">
        <v>4000</v>
      </c>
      <c r="M182" s="1" t="s">
        <v>26</v>
      </c>
      <c r="N182" s="1" t="s">
        <v>20</v>
      </c>
      <c r="P182" s="29" t="str">
        <f t="shared" si="22"/>
        <v>ORD1158</v>
      </c>
      <c r="Q182" s="29" t="str">
        <f t="shared" si="23"/>
        <v>Ritika Sharma</v>
      </c>
      <c r="R182" s="29" t="str">
        <f t="shared" si="24"/>
        <v>Notebook</v>
      </c>
      <c r="S182" s="29" t="str">
        <f t="shared" si="25"/>
        <v>Stationery</v>
      </c>
      <c r="T182" s="29" t="str">
        <f t="shared" si="26"/>
        <v>North</v>
      </c>
      <c r="U182" s="29" t="str">
        <f t="shared" si="27"/>
        <v>Sneha Roy</v>
      </c>
      <c r="V182" s="29">
        <f t="shared" si="28"/>
        <v>32</v>
      </c>
      <c r="W182" s="29">
        <f t="shared" si="29"/>
        <v>101</v>
      </c>
      <c r="X182" s="29">
        <f t="shared" si="30"/>
        <v>3232</v>
      </c>
      <c r="Y182" s="29">
        <v>1490</v>
      </c>
      <c r="Z182" s="29">
        <f t="shared" si="31"/>
        <v>1742</v>
      </c>
      <c r="AA182" s="29">
        <v>4000</v>
      </c>
      <c r="AB182" s="29" t="s">
        <v>26</v>
      </c>
      <c r="AC182" s="29" t="str">
        <f t="shared" si="32"/>
        <v>Delivered</v>
      </c>
    </row>
    <row r="183" spans="1:29" x14ac:dyDescent="0.3">
      <c r="A183" s="1" t="s">
        <v>383</v>
      </c>
      <c r="B183" s="1" t="s">
        <v>384</v>
      </c>
      <c r="C183" s="1" t="s">
        <v>40</v>
      </c>
      <c r="D183" s="1" t="s">
        <v>16</v>
      </c>
      <c r="E183" s="1" t="s">
        <v>17</v>
      </c>
      <c r="F183" s="1" t="s">
        <v>18</v>
      </c>
      <c r="G183" s="1">
        <v>2</v>
      </c>
      <c r="H183" s="1">
        <v>6845</v>
      </c>
      <c r="I183" s="1">
        <v>13690</v>
      </c>
      <c r="J183" s="1">
        <v>10120</v>
      </c>
      <c r="K183" s="1">
        <v>3570</v>
      </c>
      <c r="L183" s="1">
        <v>15000</v>
      </c>
      <c r="M183" s="1" t="s">
        <v>28</v>
      </c>
      <c r="N183" s="1" t="s">
        <v>20</v>
      </c>
      <c r="P183" s="29" t="str">
        <f t="shared" si="22"/>
        <v>ORD1199</v>
      </c>
      <c r="Q183" s="29" t="str">
        <f t="shared" si="23"/>
        <v>Ayush Kapoor</v>
      </c>
      <c r="R183" s="29" t="str">
        <f t="shared" si="24"/>
        <v>Office Chair</v>
      </c>
      <c r="S183" s="29" t="str">
        <f t="shared" si="25"/>
        <v>Furniture</v>
      </c>
      <c r="T183" s="29" t="str">
        <f t="shared" si="26"/>
        <v>West</v>
      </c>
      <c r="U183" s="29" t="str">
        <f t="shared" si="27"/>
        <v>Amit Paul</v>
      </c>
      <c r="V183" s="29">
        <f t="shared" si="28"/>
        <v>2</v>
      </c>
      <c r="W183" s="29">
        <f t="shared" si="29"/>
        <v>6845</v>
      </c>
      <c r="X183" s="29">
        <f t="shared" si="30"/>
        <v>13690</v>
      </c>
      <c r="Y183" s="29">
        <v>10120</v>
      </c>
      <c r="Z183" s="29">
        <f t="shared" si="31"/>
        <v>3570</v>
      </c>
      <c r="AA183" s="29">
        <v>15000</v>
      </c>
      <c r="AB183" s="29" t="s">
        <v>28</v>
      </c>
      <c r="AC183" s="29" t="str">
        <f t="shared" si="32"/>
        <v>Delivered</v>
      </c>
    </row>
    <row r="184" spans="1:29" x14ac:dyDescent="0.3">
      <c r="A184" s="1" t="s">
        <v>385</v>
      </c>
      <c r="B184" s="1" t="s">
        <v>386</v>
      </c>
      <c r="C184" s="1" t="s">
        <v>387</v>
      </c>
      <c r="D184" s="1" t="s">
        <v>37</v>
      </c>
      <c r="E184" s="1" t="s">
        <v>41</v>
      </c>
      <c r="F184" s="1" t="s">
        <v>42</v>
      </c>
      <c r="G184" s="1">
        <v>8</v>
      </c>
      <c r="H184" s="1">
        <v>800</v>
      </c>
      <c r="I184" s="1">
        <v>6400</v>
      </c>
      <c r="J184" s="1">
        <v>4200</v>
      </c>
      <c r="K184" s="1">
        <v>2200</v>
      </c>
      <c r="L184" s="1">
        <v>7000</v>
      </c>
      <c r="M184" s="1" t="s">
        <v>19</v>
      </c>
      <c r="N184" s="1" t="s">
        <v>20</v>
      </c>
      <c r="P184" s="29" t="str">
        <f t="shared" si="22"/>
        <v>ORD1002</v>
      </c>
      <c r="Q184" s="29" t="str">
        <f t="shared" si="23"/>
        <v>Priya Sen</v>
      </c>
      <c r="R184" s="29" t="str">
        <f t="shared" si="24"/>
        <v>Mouse</v>
      </c>
      <c r="S184" s="29" t="str">
        <f t="shared" si="25"/>
        <v>Electronics</v>
      </c>
      <c r="T184" s="29" t="str">
        <f t="shared" si="26"/>
        <v>North</v>
      </c>
      <c r="U184" s="29" t="str">
        <f t="shared" si="27"/>
        <v>Sneha Roy</v>
      </c>
      <c r="V184" s="29">
        <f t="shared" si="28"/>
        <v>8</v>
      </c>
      <c r="W184" s="29">
        <f t="shared" si="29"/>
        <v>800</v>
      </c>
      <c r="X184" s="29">
        <f t="shared" si="30"/>
        <v>6400</v>
      </c>
      <c r="Y184" s="29">
        <v>4200</v>
      </c>
      <c r="Z184" s="29">
        <f t="shared" si="31"/>
        <v>2200</v>
      </c>
      <c r="AA184" s="29">
        <v>7000</v>
      </c>
      <c r="AB184" s="29" t="s">
        <v>19</v>
      </c>
      <c r="AC184" s="29" t="str">
        <f t="shared" si="32"/>
        <v>Delivered</v>
      </c>
    </row>
    <row r="185" spans="1:29" x14ac:dyDescent="0.3">
      <c r="A185" s="1" t="s">
        <v>388</v>
      </c>
      <c r="B185" s="1" t="s">
        <v>389</v>
      </c>
      <c r="C185" s="1" t="s">
        <v>47</v>
      </c>
      <c r="D185" s="1" t="s">
        <v>23</v>
      </c>
      <c r="E185" s="1" t="s">
        <v>24</v>
      </c>
      <c r="F185" s="1" t="s">
        <v>25</v>
      </c>
      <c r="G185" s="1">
        <v>22</v>
      </c>
      <c r="H185" s="1">
        <v>250</v>
      </c>
      <c r="I185" s="1">
        <v>5500</v>
      </c>
      <c r="J185" s="1">
        <v>2300</v>
      </c>
      <c r="K185" s="1">
        <v>3200</v>
      </c>
      <c r="L185" s="1">
        <v>6000</v>
      </c>
      <c r="M185" s="1" t="s">
        <v>26</v>
      </c>
      <c r="N185" s="1" t="s">
        <v>20</v>
      </c>
      <c r="P185" s="29" t="str">
        <f t="shared" si="22"/>
        <v>ORD1053</v>
      </c>
      <c r="Q185" s="29" t="str">
        <f t="shared" si="23"/>
        <v>Sourav Roy</v>
      </c>
      <c r="R185" s="29" t="str">
        <f t="shared" si="24"/>
        <v>Marker Set</v>
      </c>
      <c r="S185" s="29" t="str">
        <f t="shared" si="25"/>
        <v>Stationery</v>
      </c>
      <c r="T185" s="29" t="str">
        <f t="shared" si="26"/>
        <v>East</v>
      </c>
      <c r="U185" s="29" t="str">
        <f t="shared" si="27"/>
        <v>Rahul Das</v>
      </c>
      <c r="V185" s="29">
        <f t="shared" si="28"/>
        <v>22</v>
      </c>
      <c r="W185" s="29">
        <f t="shared" si="29"/>
        <v>250</v>
      </c>
      <c r="X185" s="29">
        <f t="shared" si="30"/>
        <v>5500</v>
      </c>
      <c r="Y185" s="29">
        <v>2300</v>
      </c>
      <c r="Z185" s="29">
        <f t="shared" si="31"/>
        <v>3200</v>
      </c>
      <c r="AA185" s="29">
        <v>6000</v>
      </c>
      <c r="AB185" s="29" t="s">
        <v>26</v>
      </c>
      <c r="AC185" s="29" t="str">
        <f t="shared" si="32"/>
        <v>Delivered</v>
      </c>
    </row>
    <row r="186" spans="1:29" x14ac:dyDescent="0.3">
      <c r="A186" s="1" t="s">
        <v>390</v>
      </c>
      <c r="B186" s="1" t="s">
        <v>216</v>
      </c>
      <c r="C186" s="1" t="s">
        <v>88</v>
      </c>
      <c r="D186" s="1" t="s">
        <v>37</v>
      </c>
      <c r="E186" s="1" t="s">
        <v>41</v>
      </c>
      <c r="F186" s="1" t="s">
        <v>42</v>
      </c>
      <c r="G186" s="1">
        <v>3</v>
      </c>
      <c r="H186" s="1">
        <v>12360</v>
      </c>
      <c r="I186" s="1">
        <v>37080</v>
      </c>
      <c r="J186" s="1">
        <v>28550</v>
      </c>
      <c r="K186" s="1">
        <v>8530</v>
      </c>
      <c r="L186" s="1">
        <v>41000</v>
      </c>
      <c r="M186" s="1" t="s">
        <v>19</v>
      </c>
      <c r="N186" s="1" t="s">
        <v>20</v>
      </c>
      <c r="P186" s="29" t="str">
        <f t="shared" si="22"/>
        <v>ORD1150</v>
      </c>
      <c r="Q186" s="29" t="str">
        <f t="shared" si="23"/>
        <v>Tania Ghosh</v>
      </c>
      <c r="R186" s="29" t="str">
        <f t="shared" si="24"/>
        <v>Monitor</v>
      </c>
      <c r="S186" s="29" t="str">
        <f t="shared" si="25"/>
        <v>Electronics</v>
      </c>
      <c r="T186" s="29" t="str">
        <f t="shared" si="26"/>
        <v>North</v>
      </c>
      <c r="U186" s="29" t="str">
        <f t="shared" si="27"/>
        <v>Sneha Roy</v>
      </c>
      <c r="V186" s="29">
        <f t="shared" si="28"/>
        <v>3</v>
      </c>
      <c r="W186" s="29">
        <f t="shared" si="29"/>
        <v>12360</v>
      </c>
      <c r="X186" s="29">
        <f t="shared" si="30"/>
        <v>37080</v>
      </c>
      <c r="Y186" s="29">
        <v>28550</v>
      </c>
      <c r="Z186" s="29">
        <f t="shared" si="31"/>
        <v>8530</v>
      </c>
      <c r="AA186" s="29">
        <v>41000</v>
      </c>
      <c r="AB186" s="29" t="s">
        <v>19</v>
      </c>
      <c r="AC186" s="29" t="str">
        <f t="shared" si="32"/>
        <v>Delivered</v>
      </c>
    </row>
    <row r="187" spans="1:29" x14ac:dyDescent="0.3">
      <c r="A187" s="1" t="s">
        <v>391</v>
      </c>
      <c r="B187" s="1" t="s">
        <v>392</v>
      </c>
      <c r="C187" s="1" t="s">
        <v>99</v>
      </c>
      <c r="D187" s="1" t="s">
        <v>23</v>
      </c>
      <c r="E187" s="1" t="s">
        <v>17</v>
      </c>
      <c r="F187" s="1" t="s">
        <v>18</v>
      </c>
      <c r="G187" s="1">
        <v>31</v>
      </c>
      <c r="H187" s="1">
        <v>103</v>
      </c>
      <c r="I187" s="1">
        <v>3193</v>
      </c>
      <c r="J187" s="1">
        <v>1480</v>
      </c>
      <c r="K187" s="1">
        <v>1713</v>
      </c>
      <c r="L187" s="1">
        <v>3900</v>
      </c>
      <c r="M187" s="1" t="s">
        <v>26</v>
      </c>
      <c r="N187" s="1" t="s">
        <v>20</v>
      </c>
      <c r="P187" s="29" t="str">
        <f t="shared" si="22"/>
        <v>ORD1131</v>
      </c>
      <c r="Q187" s="29" t="str">
        <f t="shared" si="23"/>
        <v>Ananya Dutta</v>
      </c>
      <c r="R187" s="29" t="str">
        <f t="shared" si="24"/>
        <v>Notebook</v>
      </c>
      <c r="S187" s="29" t="str">
        <f t="shared" si="25"/>
        <v>Stationery</v>
      </c>
      <c r="T187" s="29" t="str">
        <f t="shared" si="26"/>
        <v>West</v>
      </c>
      <c r="U187" s="29" t="str">
        <f t="shared" si="27"/>
        <v>Amit Paul</v>
      </c>
      <c r="V187" s="29">
        <f t="shared" si="28"/>
        <v>31</v>
      </c>
      <c r="W187" s="29">
        <f t="shared" si="29"/>
        <v>103</v>
      </c>
      <c r="X187" s="29">
        <f t="shared" si="30"/>
        <v>3193</v>
      </c>
      <c r="Y187" s="29">
        <v>1480</v>
      </c>
      <c r="Z187" s="29">
        <f t="shared" si="31"/>
        <v>1713</v>
      </c>
      <c r="AA187" s="29">
        <v>3900</v>
      </c>
      <c r="AB187" s="29" t="s">
        <v>26</v>
      </c>
      <c r="AC187" s="29" t="str">
        <f t="shared" si="32"/>
        <v>Delivered</v>
      </c>
    </row>
    <row r="188" spans="1:29" x14ac:dyDescent="0.3">
      <c r="A188" s="1" t="s">
        <v>393</v>
      </c>
      <c r="B188" s="1" t="s">
        <v>394</v>
      </c>
      <c r="C188" s="1" t="s">
        <v>47</v>
      </c>
      <c r="D188" s="1" t="s">
        <v>23</v>
      </c>
      <c r="E188" s="1" t="s">
        <v>30</v>
      </c>
      <c r="F188" s="1" t="s">
        <v>31</v>
      </c>
      <c r="G188" s="1">
        <v>19</v>
      </c>
      <c r="H188" s="1">
        <v>259</v>
      </c>
      <c r="I188" s="1">
        <v>4921</v>
      </c>
      <c r="J188" s="1">
        <v>2050</v>
      </c>
      <c r="K188" s="1">
        <v>2871</v>
      </c>
      <c r="L188" s="1">
        <v>5500</v>
      </c>
      <c r="M188" s="1" t="s">
        <v>26</v>
      </c>
      <c r="N188" s="1" t="s">
        <v>20</v>
      </c>
      <c r="P188" s="29" t="str">
        <f t="shared" si="22"/>
        <v>ORD1152</v>
      </c>
      <c r="Q188" s="29" t="str">
        <f t="shared" si="23"/>
        <v>Neha Mukherjee</v>
      </c>
      <c r="R188" s="29" t="str">
        <f t="shared" si="24"/>
        <v>Marker Set</v>
      </c>
      <c r="S188" s="29" t="str">
        <f t="shared" si="25"/>
        <v>Stationery</v>
      </c>
      <c r="T188" s="29" t="str">
        <f t="shared" si="26"/>
        <v>South</v>
      </c>
      <c r="U188" s="29" t="str">
        <f t="shared" si="27"/>
        <v>Pooja Dey</v>
      </c>
      <c r="V188" s="29">
        <f t="shared" si="28"/>
        <v>19</v>
      </c>
      <c r="W188" s="29">
        <f t="shared" si="29"/>
        <v>259</v>
      </c>
      <c r="X188" s="29">
        <f t="shared" si="30"/>
        <v>4921</v>
      </c>
      <c r="Y188" s="29">
        <v>2050</v>
      </c>
      <c r="Z188" s="29">
        <f t="shared" si="31"/>
        <v>2871</v>
      </c>
      <c r="AA188" s="29">
        <v>5500</v>
      </c>
      <c r="AB188" s="29" t="s">
        <v>26</v>
      </c>
      <c r="AC188" s="29" t="str">
        <f t="shared" si="32"/>
        <v>Delivered</v>
      </c>
    </row>
    <row r="189" spans="1:29" x14ac:dyDescent="0.3">
      <c r="A189" s="1" t="s">
        <v>395</v>
      </c>
      <c r="B189" s="1" t="s">
        <v>396</v>
      </c>
      <c r="C189" s="1" t="s">
        <v>99</v>
      </c>
      <c r="D189" s="1" t="s">
        <v>23</v>
      </c>
      <c r="E189" s="1" t="s">
        <v>30</v>
      </c>
      <c r="F189" s="1" t="s">
        <v>31</v>
      </c>
      <c r="G189" s="1">
        <v>25</v>
      </c>
      <c r="H189" s="1">
        <v>104</v>
      </c>
      <c r="I189" s="1">
        <v>2600</v>
      </c>
      <c r="J189" s="1">
        <v>1280</v>
      </c>
      <c r="K189" s="1">
        <v>1320</v>
      </c>
      <c r="L189" s="1">
        <v>3300</v>
      </c>
      <c r="M189" s="1" t="s">
        <v>26</v>
      </c>
      <c r="N189" s="1" t="s">
        <v>20</v>
      </c>
      <c r="P189" s="29" t="str">
        <f t="shared" si="22"/>
        <v>ORD1104</v>
      </c>
      <c r="Q189" s="29" t="str">
        <f t="shared" si="23"/>
        <v>Mitali Roy</v>
      </c>
      <c r="R189" s="29" t="str">
        <f t="shared" si="24"/>
        <v>Notebook</v>
      </c>
      <c r="S189" s="29" t="str">
        <f t="shared" si="25"/>
        <v>Stationery</v>
      </c>
      <c r="T189" s="29" t="str">
        <f t="shared" si="26"/>
        <v>South</v>
      </c>
      <c r="U189" s="29" t="str">
        <f t="shared" si="27"/>
        <v>Pooja Dey</v>
      </c>
      <c r="V189" s="29">
        <f t="shared" si="28"/>
        <v>25</v>
      </c>
      <c r="W189" s="29">
        <f t="shared" si="29"/>
        <v>104</v>
      </c>
      <c r="X189" s="29">
        <f t="shared" si="30"/>
        <v>2600</v>
      </c>
      <c r="Y189" s="29">
        <v>1280</v>
      </c>
      <c r="Z189" s="29">
        <f t="shared" si="31"/>
        <v>1320</v>
      </c>
      <c r="AA189" s="29">
        <v>3300</v>
      </c>
      <c r="AB189" s="29" t="s">
        <v>26</v>
      </c>
      <c r="AC189" s="29" t="str">
        <f t="shared" si="32"/>
        <v>Delivered</v>
      </c>
    </row>
    <row r="190" spans="1:29" x14ac:dyDescent="0.3">
      <c r="A190" s="1" t="s">
        <v>397</v>
      </c>
      <c r="B190" s="1" t="s">
        <v>398</v>
      </c>
      <c r="C190" s="1" t="s">
        <v>40</v>
      </c>
      <c r="D190" s="1" t="s">
        <v>16</v>
      </c>
      <c r="E190" s="1" t="s">
        <v>30</v>
      </c>
      <c r="F190" s="1" t="s">
        <v>31</v>
      </c>
      <c r="G190" s="1">
        <v>2</v>
      </c>
      <c r="H190" s="1">
        <v>6725</v>
      </c>
      <c r="I190" s="1">
        <v>13450</v>
      </c>
      <c r="J190" s="1">
        <v>9950</v>
      </c>
      <c r="K190" s="1">
        <v>3500</v>
      </c>
      <c r="L190" s="1">
        <v>15000</v>
      </c>
      <c r="M190" s="1" t="s">
        <v>28</v>
      </c>
      <c r="N190" s="1" t="s">
        <v>20</v>
      </c>
      <c r="P190" s="29" t="str">
        <f t="shared" si="22"/>
        <v>ORD1100</v>
      </c>
      <c r="Q190" s="29" t="str">
        <f t="shared" si="23"/>
        <v>Nikita Pal</v>
      </c>
      <c r="R190" s="29" t="str">
        <f t="shared" si="24"/>
        <v>Office Chair</v>
      </c>
      <c r="S190" s="29" t="str">
        <f t="shared" si="25"/>
        <v>Furniture</v>
      </c>
      <c r="T190" s="29" t="str">
        <f t="shared" si="26"/>
        <v>South</v>
      </c>
      <c r="U190" s="29" t="str">
        <f t="shared" si="27"/>
        <v>Pooja Dey</v>
      </c>
      <c r="V190" s="29">
        <f t="shared" si="28"/>
        <v>2</v>
      </c>
      <c r="W190" s="29">
        <f t="shared" si="29"/>
        <v>6725</v>
      </c>
      <c r="X190" s="29">
        <f t="shared" si="30"/>
        <v>13450</v>
      </c>
      <c r="Y190" s="29">
        <v>9950</v>
      </c>
      <c r="Z190" s="29">
        <f t="shared" si="31"/>
        <v>3500</v>
      </c>
      <c r="AA190" s="29">
        <v>15000</v>
      </c>
      <c r="AB190" s="29" t="s">
        <v>28</v>
      </c>
      <c r="AC190" s="29" t="str">
        <f t="shared" si="32"/>
        <v>Delivered</v>
      </c>
    </row>
    <row r="191" spans="1:29" x14ac:dyDescent="0.3">
      <c r="A191" s="1" t="s">
        <v>399</v>
      </c>
      <c r="B191" s="1" t="s">
        <v>400</v>
      </c>
      <c r="C191" s="1" t="s">
        <v>56</v>
      </c>
      <c r="D191" s="1" t="s">
        <v>37</v>
      </c>
      <c r="E191" s="1" t="s">
        <v>24</v>
      </c>
      <c r="F191" s="1" t="s">
        <v>25</v>
      </c>
      <c r="G191" s="1">
        <v>1</v>
      </c>
      <c r="H191" s="1">
        <v>57900</v>
      </c>
      <c r="I191" s="1">
        <v>57900</v>
      </c>
      <c r="J191" s="1">
        <v>46300</v>
      </c>
      <c r="K191" s="1">
        <v>11600</v>
      </c>
      <c r="L191" s="1">
        <v>65000</v>
      </c>
      <c r="M191" s="1" t="s">
        <v>19</v>
      </c>
      <c r="N191" s="1" t="s">
        <v>20</v>
      </c>
      <c r="P191" s="29" t="str">
        <f t="shared" si="22"/>
        <v>ORD1117</v>
      </c>
      <c r="Q191" s="29" t="str">
        <f t="shared" si="23"/>
        <v>Abhinav Das</v>
      </c>
      <c r="R191" s="29" t="str">
        <f t="shared" si="24"/>
        <v>Laptop</v>
      </c>
      <c r="S191" s="29" t="str">
        <f t="shared" si="25"/>
        <v>Electronics</v>
      </c>
      <c r="T191" s="29" t="str">
        <f t="shared" si="26"/>
        <v>East</v>
      </c>
      <c r="U191" s="29" t="str">
        <f t="shared" si="27"/>
        <v>Rahul Das</v>
      </c>
      <c r="V191" s="29">
        <f t="shared" si="28"/>
        <v>1</v>
      </c>
      <c r="W191" s="29">
        <f t="shared" si="29"/>
        <v>57900</v>
      </c>
      <c r="X191" s="29">
        <f t="shared" si="30"/>
        <v>57900</v>
      </c>
      <c r="Y191" s="29">
        <v>46300</v>
      </c>
      <c r="Z191" s="29">
        <f t="shared" si="31"/>
        <v>11600</v>
      </c>
      <c r="AA191" s="29">
        <v>65000</v>
      </c>
      <c r="AB191" s="29" t="s">
        <v>19</v>
      </c>
      <c r="AC191" s="29" t="str">
        <f t="shared" si="32"/>
        <v>Delivered</v>
      </c>
    </row>
    <row r="192" spans="1:29" x14ac:dyDescent="0.3">
      <c r="A192" s="1" t="s">
        <v>401</v>
      </c>
      <c r="B192" s="1" t="s">
        <v>402</v>
      </c>
      <c r="C192" s="1" t="s">
        <v>33</v>
      </c>
      <c r="D192" s="1" t="s">
        <v>16</v>
      </c>
      <c r="E192" s="1" t="s">
        <v>30</v>
      </c>
      <c r="F192" s="1" t="s">
        <v>31</v>
      </c>
      <c r="G192" s="1">
        <v>1</v>
      </c>
      <c r="H192" s="1">
        <v>11350</v>
      </c>
      <c r="I192" s="1">
        <v>11350</v>
      </c>
      <c r="J192" s="1">
        <v>8600</v>
      </c>
      <c r="K192" s="1">
        <v>2750</v>
      </c>
      <c r="L192" s="1">
        <v>13500</v>
      </c>
      <c r="M192" s="1" t="s">
        <v>28</v>
      </c>
      <c r="N192" s="1" t="s">
        <v>20</v>
      </c>
      <c r="P192" s="29" t="str">
        <f t="shared" si="22"/>
        <v>ORD1088</v>
      </c>
      <c r="Q192" s="29" t="str">
        <f t="shared" si="23"/>
        <v>Priyanka Dey</v>
      </c>
      <c r="R192" s="29" t="str">
        <f t="shared" si="24"/>
        <v>Bookshelf</v>
      </c>
      <c r="S192" s="29" t="str">
        <f t="shared" si="25"/>
        <v>Furniture</v>
      </c>
      <c r="T192" s="29" t="str">
        <f t="shared" si="26"/>
        <v>South</v>
      </c>
      <c r="U192" s="29" t="str">
        <f t="shared" si="27"/>
        <v>Pooja Dey</v>
      </c>
      <c r="V192" s="29">
        <f t="shared" si="28"/>
        <v>1</v>
      </c>
      <c r="W192" s="29">
        <f t="shared" si="29"/>
        <v>11350</v>
      </c>
      <c r="X192" s="29">
        <f t="shared" si="30"/>
        <v>11350</v>
      </c>
      <c r="Y192" s="29">
        <v>8600</v>
      </c>
      <c r="Z192" s="29">
        <f t="shared" si="31"/>
        <v>2750</v>
      </c>
      <c r="AA192" s="29">
        <v>13500</v>
      </c>
      <c r="AB192" s="29" t="s">
        <v>28</v>
      </c>
      <c r="AC192" s="29" t="str">
        <f t="shared" si="32"/>
        <v>Delivered</v>
      </c>
    </row>
    <row r="193" spans="1:29" x14ac:dyDescent="0.3">
      <c r="A193" s="1" t="s">
        <v>403</v>
      </c>
      <c r="B193" s="1" t="s">
        <v>404</v>
      </c>
      <c r="C193" s="1" t="s">
        <v>36</v>
      </c>
      <c r="D193" s="1" t="s">
        <v>37</v>
      </c>
      <c r="E193" s="1" t="s">
        <v>17</v>
      </c>
      <c r="F193" s="1" t="s">
        <v>18</v>
      </c>
      <c r="G193" s="1">
        <v>1</v>
      </c>
      <c r="H193" s="1">
        <v>15050</v>
      </c>
      <c r="I193" s="1">
        <v>15050</v>
      </c>
      <c r="J193" s="1">
        <v>11800</v>
      </c>
      <c r="K193" s="1">
        <v>3250</v>
      </c>
      <c r="L193" s="1">
        <v>17500</v>
      </c>
      <c r="M193" s="1" t="s">
        <v>19</v>
      </c>
      <c r="N193" s="1" t="s">
        <v>20</v>
      </c>
      <c r="P193" s="29" t="str">
        <f t="shared" si="22"/>
        <v>ORD1075</v>
      </c>
      <c r="Q193" s="29" t="str">
        <f t="shared" si="23"/>
        <v>Raj Mehta</v>
      </c>
      <c r="R193" s="29" t="str">
        <f t="shared" si="24"/>
        <v>Printer</v>
      </c>
      <c r="S193" s="29" t="str">
        <f t="shared" si="25"/>
        <v>Electronics</v>
      </c>
      <c r="T193" s="29" t="str">
        <f t="shared" si="26"/>
        <v>West</v>
      </c>
      <c r="U193" s="29" t="str">
        <f t="shared" si="27"/>
        <v>Amit Paul</v>
      </c>
      <c r="V193" s="29">
        <f t="shared" si="28"/>
        <v>1</v>
      </c>
      <c r="W193" s="29">
        <f t="shared" si="29"/>
        <v>15050</v>
      </c>
      <c r="X193" s="29">
        <f t="shared" si="30"/>
        <v>15050</v>
      </c>
      <c r="Y193" s="29">
        <v>11800</v>
      </c>
      <c r="Z193" s="29">
        <f t="shared" si="31"/>
        <v>3250</v>
      </c>
      <c r="AA193" s="29">
        <v>17500</v>
      </c>
      <c r="AB193" s="29" t="s">
        <v>19</v>
      </c>
      <c r="AC193" s="29" t="str">
        <f t="shared" si="32"/>
        <v>Delivered</v>
      </c>
    </row>
    <row r="194" spans="1:29" x14ac:dyDescent="0.3">
      <c r="A194" s="1" t="s">
        <v>405</v>
      </c>
      <c r="B194" s="1" t="s">
        <v>406</v>
      </c>
      <c r="C194" s="1" t="s">
        <v>99</v>
      </c>
      <c r="D194" s="1" t="s">
        <v>23</v>
      </c>
      <c r="E194" s="1" t="s">
        <v>41</v>
      </c>
      <c r="F194" s="1" t="s">
        <v>42</v>
      </c>
      <c r="G194" s="1">
        <v>33</v>
      </c>
      <c r="H194" s="1">
        <v>98</v>
      </c>
      <c r="I194" s="1">
        <v>3234</v>
      </c>
      <c r="J194" s="1">
        <v>1500</v>
      </c>
      <c r="K194" s="1">
        <v>1734</v>
      </c>
      <c r="L194" s="1">
        <v>4000</v>
      </c>
      <c r="M194" s="1" t="s">
        <v>26</v>
      </c>
      <c r="N194" s="1" t="s">
        <v>20</v>
      </c>
      <c r="P194" s="29" t="str">
        <f t="shared" si="22"/>
        <v>ORD1122</v>
      </c>
      <c r="Q194" s="29" t="str">
        <f t="shared" si="23"/>
        <v>ISHANI SEN</v>
      </c>
      <c r="R194" s="29" t="str">
        <f t="shared" si="24"/>
        <v>Notebook</v>
      </c>
      <c r="S194" s="29" t="str">
        <f t="shared" si="25"/>
        <v>Stationery</v>
      </c>
      <c r="T194" s="29" t="str">
        <f t="shared" si="26"/>
        <v>North</v>
      </c>
      <c r="U194" s="29" t="str">
        <f t="shared" si="27"/>
        <v>Sneha Roy</v>
      </c>
      <c r="V194" s="29">
        <f t="shared" si="28"/>
        <v>33</v>
      </c>
      <c r="W194" s="29">
        <f t="shared" si="29"/>
        <v>98</v>
      </c>
      <c r="X194" s="29">
        <f t="shared" si="30"/>
        <v>3234</v>
      </c>
      <c r="Y194" s="29">
        <v>1500</v>
      </c>
      <c r="Z194" s="29">
        <f t="shared" si="31"/>
        <v>1734</v>
      </c>
      <c r="AA194" s="29">
        <v>4000</v>
      </c>
      <c r="AB194" s="29" t="s">
        <v>26</v>
      </c>
      <c r="AC194" s="29" t="str">
        <f t="shared" si="32"/>
        <v>Delivered</v>
      </c>
    </row>
    <row r="195" spans="1:29" x14ac:dyDescent="0.3">
      <c r="A195" s="1" t="s">
        <v>407</v>
      </c>
      <c r="B195" s="1" t="s">
        <v>408</v>
      </c>
      <c r="C195" s="1" t="s">
        <v>36</v>
      </c>
      <c r="D195" s="1" t="s">
        <v>37</v>
      </c>
      <c r="E195" s="1" t="s">
        <v>24</v>
      </c>
      <c r="F195" s="1" t="s">
        <v>25</v>
      </c>
      <c r="G195" s="1">
        <v>1</v>
      </c>
      <c r="H195" s="1">
        <v>14800</v>
      </c>
      <c r="I195" s="1">
        <v>14800</v>
      </c>
      <c r="J195" s="1">
        <v>11600</v>
      </c>
      <c r="K195" s="1">
        <v>3200</v>
      </c>
      <c r="L195" s="1">
        <v>17000</v>
      </c>
      <c r="M195" s="1" t="s">
        <v>26</v>
      </c>
      <c r="N195" s="1" t="s">
        <v>20</v>
      </c>
      <c r="P195" s="29" t="str">
        <f t="shared" ref="P195:P202" si="33">IF(COUNTBLANK(A195)=0,A195,"GUEST USER")</f>
        <v>ORD1021</v>
      </c>
      <c r="Q195" s="29" t="str">
        <f t="shared" ref="Q195:Q202" si="34">IF(COUNTBLANK(B195)=0,B195,"UNKNOWN")</f>
        <v>Manav Chatterjee</v>
      </c>
      <c r="R195" s="29" t="str">
        <f t="shared" ref="R195:R202" si="35">IF(COUNTBLANK(C195)=0,C195,"UNKNOWN")</f>
        <v>Printer</v>
      </c>
      <c r="S195" s="29" t="str">
        <f t="shared" ref="S195:S202" si="36">IF(COUNTBLANK(D195)=0,D195,"UNKNOWN")</f>
        <v>Electronics</v>
      </c>
      <c r="T195" s="29" t="str">
        <f t="shared" ref="T195:T202" si="37">IF(COUNTBLANK(E195)=0,E195,"UNKNOWN")</f>
        <v>East</v>
      </c>
      <c r="U195" s="29" t="str">
        <f t="shared" ref="U195:U202" si="38">IF(COUNTBLANK(F195)=0,F195,"SOMEONE")</f>
        <v>Rahul Das</v>
      </c>
      <c r="V195" s="29">
        <f t="shared" ref="V195:V202" si="39">IF(COUNTBLANK(G195)=0,G195,0)</f>
        <v>1</v>
      </c>
      <c r="W195" s="29">
        <f t="shared" ref="W195:W202" si="40">IF(COUNTBLANK(H195)=0,H195,0)</f>
        <v>14800</v>
      </c>
      <c r="X195" s="29">
        <f t="shared" ref="X195:X202" si="41">H195*G195</f>
        <v>14800</v>
      </c>
      <c r="Y195" s="29">
        <v>11600</v>
      </c>
      <c r="Z195" s="29">
        <f t="shared" ref="Z195:Z202" si="42">X195-Y195</f>
        <v>3200</v>
      </c>
      <c r="AA195" s="29">
        <v>17000</v>
      </c>
      <c r="AB195" s="29" t="s">
        <v>26</v>
      </c>
      <c r="AC195" s="29" t="str">
        <f t="shared" ref="AC195:AC202" si="43">IF(COUNTBLANK(N195)=0,N195,"Processing")</f>
        <v>Delivered</v>
      </c>
    </row>
    <row r="196" spans="1:29" x14ac:dyDescent="0.3">
      <c r="A196" s="1" t="s">
        <v>409</v>
      </c>
      <c r="B196" s="1" t="s">
        <v>336</v>
      </c>
      <c r="C196" s="1" t="s">
        <v>56</v>
      </c>
      <c r="D196" s="1" t="s">
        <v>37</v>
      </c>
      <c r="E196" s="1" t="s">
        <v>24</v>
      </c>
      <c r="F196" s="1" t="s">
        <v>25</v>
      </c>
      <c r="G196" s="1">
        <v>1</v>
      </c>
      <c r="H196" s="1">
        <v>57950</v>
      </c>
      <c r="I196" s="1">
        <v>57950</v>
      </c>
      <c r="J196" s="1">
        <v>46320</v>
      </c>
      <c r="K196" s="1">
        <v>11630</v>
      </c>
      <c r="L196" s="1">
        <v>65000</v>
      </c>
      <c r="M196" s="1" t="s">
        <v>19</v>
      </c>
      <c r="N196" s="1" t="s">
        <v>20</v>
      </c>
      <c r="P196" s="29" t="str">
        <f t="shared" si="33"/>
        <v>ORD1189</v>
      </c>
      <c r="Q196" s="29" t="str">
        <f t="shared" si="34"/>
        <v>Abhishek Roy</v>
      </c>
      <c r="R196" s="29" t="str">
        <f t="shared" si="35"/>
        <v>Laptop</v>
      </c>
      <c r="S196" s="29" t="str">
        <f t="shared" si="36"/>
        <v>Electronics</v>
      </c>
      <c r="T196" s="29" t="str">
        <f t="shared" si="37"/>
        <v>East</v>
      </c>
      <c r="U196" s="29" t="str">
        <f t="shared" si="38"/>
        <v>Rahul Das</v>
      </c>
      <c r="V196" s="29">
        <f t="shared" si="39"/>
        <v>1</v>
      </c>
      <c r="W196" s="29">
        <f t="shared" si="40"/>
        <v>57950</v>
      </c>
      <c r="X196" s="29">
        <f t="shared" si="41"/>
        <v>57950</v>
      </c>
      <c r="Y196" s="29">
        <v>46320</v>
      </c>
      <c r="Z196" s="29">
        <f t="shared" si="42"/>
        <v>11630</v>
      </c>
      <c r="AA196" s="29">
        <v>65000</v>
      </c>
      <c r="AB196" s="29" t="s">
        <v>19</v>
      </c>
      <c r="AC196" s="29" t="str">
        <f t="shared" si="43"/>
        <v>Delivered</v>
      </c>
    </row>
    <row r="197" spans="1:29" x14ac:dyDescent="0.3">
      <c r="A197" s="1" t="s">
        <v>410</v>
      </c>
      <c r="B197" s="1" t="s">
        <v>411</v>
      </c>
      <c r="C197" s="1" t="s">
        <v>56</v>
      </c>
      <c r="D197" s="1" t="s">
        <v>37</v>
      </c>
      <c r="E197" s="1" t="s">
        <v>30</v>
      </c>
      <c r="F197" s="1" t="s">
        <v>31</v>
      </c>
      <c r="G197" s="1">
        <v>2</v>
      </c>
      <c r="H197" s="1">
        <v>56200</v>
      </c>
      <c r="I197" s="1">
        <v>112400</v>
      </c>
      <c r="J197" s="1">
        <v>93000</v>
      </c>
      <c r="K197" s="1">
        <v>19400</v>
      </c>
      <c r="L197" s="1">
        <v>125000</v>
      </c>
      <c r="M197" s="1" t="s">
        <v>19</v>
      </c>
      <c r="N197" s="1" t="s">
        <v>20</v>
      </c>
      <c r="P197" s="29" t="str">
        <f t="shared" si="33"/>
        <v>ORD1072</v>
      </c>
      <c r="Q197" s="29" t="str">
        <f t="shared" si="34"/>
        <v>Rhea Banik</v>
      </c>
      <c r="R197" s="29" t="str">
        <f t="shared" si="35"/>
        <v>Laptop</v>
      </c>
      <c r="S197" s="29" t="str">
        <f t="shared" si="36"/>
        <v>Electronics</v>
      </c>
      <c r="T197" s="29" t="str">
        <f t="shared" si="37"/>
        <v>South</v>
      </c>
      <c r="U197" s="29" t="str">
        <f t="shared" si="38"/>
        <v>Pooja Dey</v>
      </c>
      <c r="V197" s="29">
        <f t="shared" si="39"/>
        <v>2</v>
      </c>
      <c r="W197" s="29">
        <f t="shared" si="40"/>
        <v>56200</v>
      </c>
      <c r="X197" s="29">
        <f t="shared" si="41"/>
        <v>112400</v>
      </c>
      <c r="Y197" s="29">
        <v>93000</v>
      </c>
      <c r="Z197" s="29">
        <f t="shared" si="42"/>
        <v>19400</v>
      </c>
      <c r="AA197" s="29">
        <v>125000</v>
      </c>
      <c r="AB197" s="29" t="s">
        <v>19</v>
      </c>
      <c r="AC197" s="29" t="str">
        <f t="shared" si="43"/>
        <v>Delivered</v>
      </c>
    </row>
    <row r="198" spans="1:29" x14ac:dyDescent="0.3">
      <c r="A198" s="1" t="s">
        <v>412</v>
      </c>
      <c r="B198" s="1" t="s">
        <v>413</v>
      </c>
      <c r="C198" s="1" t="s">
        <v>47</v>
      </c>
      <c r="D198" s="1" t="s">
        <v>23</v>
      </c>
      <c r="E198" s="1" t="s">
        <v>17</v>
      </c>
      <c r="F198" s="1" t="s">
        <v>18</v>
      </c>
      <c r="G198" s="1">
        <v>21</v>
      </c>
      <c r="H198" s="1">
        <v>255</v>
      </c>
      <c r="I198" s="1">
        <v>5355</v>
      </c>
      <c r="J198" s="1">
        <v>2200</v>
      </c>
      <c r="K198" s="1">
        <v>3155</v>
      </c>
      <c r="L198" s="1">
        <v>5900</v>
      </c>
      <c r="M198" s="1" t="s">
        <v>26</v>
      </c>
      <c r="N198" s="1" t="s">
        <v>20</v>
      </c>
      <c r="P198" s="29" t="str">
        <f t="shared" si="33"/>
        <v>ORD1107</v>
      </c>
      <c r="Q198" s="29" t="str">
        <f t="shared" si="34"/>
        <v>Kunal Roy</v>
      </c>
      <c r="R198" s="29" t="str">
        <f t="shared" si="35"/>
        <v>Marker Set</v>
      </c>
      <c r="S198" s="29" t="str">
        <f t="shared" si="36"/>
        <v>Stationery</v>
      </c>
      <c r="T198" s="29" t="str">
        <f t="shared" si="37"/>
        <v>West</v>
      </c>
      <c r="U198" s="29" t="str">
        <f t="shared" si="38"/>
        <v>Amit Paul</v>
      </c>
      <c r="V198" s="29">
        <f t="shared" si="39"/>
        <v>21</v>
      </c>
      <c r="W198" s="29">
        <f t="shared" si="40"/>
        <v>255</v>
      </c>
      <c r="X198" s="29">
        <f t="shared" si="41"/>
        <v>5355</v>
      </c>
      <c r="Y198" s="29">
        <v>2200</v>
      </c>
      <c r="Z198" s="29">
        <f t="shared" si="42"/>
        <v>3155</v>
      </c>
      <c r="AA198" s="29">
        <v>5900</v>
      </c>
      <c r="AB198" s="29" t="s">
        <v>26</v>
      </c>
      <c r="AC198" s="29" t="str">
        <f t="shared" si="43"/>
        <v>Delivered</v>
      </c>
    </row>
    <row r="199" spans="1:29" x14ac:dyDescent="0.3">
      <c r="A199" s="1" t="s">
        <v>414</v>
      </c>
      <c r="B199" s="1" t="s">
        <v>415</v>
      </c>
      <c r="C199" s="1" t="s">
        <v>15</v>
      </c>
      <c r="D199" s="1" t="s">
        <v>16</v>
      </c>
      <c r="E199" s="1" t="s">
        <v>17</v>
      </c>
      <c r="F199" s="1" t="s">
        <v>18</v>
      </c>
      <c r="G199" s="1">
        <v>1</v>
      </c>
      <c r="H199" s="1">
        <v>9500</v>
      </c>
      <c r="I199" s="1">
        <v>9500</v>
      </c>
      <c r="J199" s="1">
        <v>7000</v>
      </c>
      <c r="K199" s="1">
        <v>2500</v>
      </c>
      <c r="L199" s="1">
        <v>12000</v>
      </c>
      <c r="M199" s="1" t="s">
        <v>28</v>
      </c>
      <c r="N199" s="1" t="s">
        <v>20</v>
      </c>
      <c r="P199" s="29" t="str">
        <f t="shared" si="33"/>
        <v>ORD1015</v>
      </c>
      <c r="Q199" s="29" t="str">
        <f t="shared" si="34"/>
        <v>Soumya Das</v>
      </c>
      <c r="R199" s="29" t="str">
        <f t="shared" si="35"/>
        <v>Desk</v>
      </c>
      <c r="S199" s="29" t="str">
        <f t="shared" si="36"/>
        <v>Furniture</v>
      </c>
      <c r="T199" s="29" t="str">
        <f t="shared" si="37"/>
        <v>West</v>
      </c>
      <c r="U199" s="29" t="str">
        <f t="shared" si="38"/>
        <v>Amit Paul</v>
      </c>
      <c r="V199" s="29">
        <f t="shared" si="39"/>
        <v>1</v>
      </c>
      <c r="W199" s="29">
        <f t="shared" si="40"/>
        <v>9500</v>
      </c>
      <c r="X199" s="29">
        <f t="shared" si="41"/>
        <v>9500</v>
      </c>
      <c r="Y199" s="29">
        <v>7000</v>
      </c>
      <c r="Z199" s="29">
        <f t="shared" si="42"/>
        <v>2500</v>
      </c>
      <c r="AA199" s="29">
        <v>12000</v>
      </c>
      <c r="AB199" s="29" t="s">
        <v>28</v>
      </c>
      <c r="AC199" s="29" t="str">
        <f t="shared" si="43"/>
        <v>Delivered</v>
      </c>
    </row>
    <row r="200" spans="1:29" x14ac:dyDescent="0.3">
      <c r="A200" s="1" t="s">
        <v>416</v>
      </c>
      <c r="B200" s="1" t="s">
        <v>417</v>
      </c>
      <c r="C200" s="1" t="s">
        <v>36</v>
      </c>
      <c r="D200" s="1" t="s">
        <v>37</v>
      </c>
      <c r="E200" s="1" t="s">
        <v>24</v>
      </c>
      <c r="F200" s="1" t="s">
        <v>25</v>
      </c>
      <c r="G200" s="1">
        <v>1</v>
      </c>
      <c r="H200" s="1">
        <v>15150</v>
      </c>
      <c r="I200" s="1">
        <v>15150</v>
      </c>
      <c r="J200" s="1">
        <v>11900</v>
      </c>
      <c r="K200" s="1">
        <v>3250</v>
      </c>
      <c r="L200" s="1">
        <v>17500</v>
      </c>
      <c r="M200" s="1" t="s">
        <v>19</v>
      </c>
      <c r="N200" s="1" t="s">
        <v>20</v>
      </c>
      <c r="P200" s="29" t="str">
        <f t="shared" si="33"/>
        <v>ORD1093</v>
      </c>
      <c r="Q200" s="29" t="str">
        <f t="shared" si="34"/>
        <v>Arjun Roy</v>
      </c>
      <c r="R200" s="29" t="str">
        <f t="shared" si="35"/>
        <v>Printer</v>
      </c>
      <c r="S200" s="29" t="str">
        <f t="shared" si="36"/>
        <v>Electronics</v>
      </c>
      <c r="T200" s="29" t="str">
        <f t="shared" si="37"/>
        <v>East</v>
      </c>
      <c r="U200" s="29" t="str">
        <f t="shared" si="38"/>
        <v>Rahul Das</v>
      </c>
      <c r="V200" s="29">
        <f t="shared" si="39"/>
        <v>1</v>
      </c>
      <c r="W200" s="29">
        <f t="shared" si="40"/>
        <v>15150</v>
      </c>
      <c r="X200" s="29">
        <f t="shared" si="41"/>
        <v>15150</v>
      </c>
      <c r="Y200" s="29">
        <v>11900</v>
      </c>
      <c r="Z200" s="29">
        <f t="shared" si="42"/>
        <v>3250</v>
      </c>
      <c r="AA200" s="29">
        <v>17500</v>
      </c>
      <c r="AB200" s="29" t="s">
        <v>19</v>
      </c>
      <c r="AC200" s="29" t="str">
        <f t="shared" si="43"/>
        <v>Delivered</v>
      </c>
    </row>
    <row r="201" spans="1:29" x14ac:dyDescent="0.3">
      <c r="A201" s="1" t="s">
        <v>418</v>
      </c>
      <c r="B201" s="1" t="s">
        <v>62</v>
      </c>
      <c r="C201" s="1" t="s">
        <v>56</v>
      </c>
      <c r="D201" s="1" t="s">
        <v>37</v>
      </c>
      <c r="E201" s="1" t="s">
        <v>30</v>
      </c>
      <c r="F201" s="1" t="s">
        <v>31</v>
      </c>
      <c r="G201" s="1">
        <v>2</v>
      </c>
      <c r="H201" s="1">
        <v>56650</v>
      </c>
      <c r="I201" s="1">
        <v>113300</v>
      </c>
      <c r="J201" s="1">
        <v>94050</v>
      </c>
      <c r="K201" s="1">
        <v>19250</v>
      </c>
      <c r="L201" s="1">
        <v>126000</v>
      </c>
      <c r="M201" s="1" t="s">
        <v>19</v>
      </c>
      <c r="N201" s="1" t="s">
        <v>20</v>
      </c>
      <c r="P201" s="29" t="str">
        <f t="shared" si="33"/>
        <v>ORD1180</v>
      </c>
      <c r="Q201" s="29" t="str">
        <f t="shared" si="34"/>
        <v>Diya Sharma</v>
      </c>
      <c r="R201" s="29" t="str">
        <f t="shared" si="35"/>
        <v>Laptop</v>
      </c>
      <c r="S201" s="29" t="str">
        <f t="shared" si="36"/>
        <v>Electronics</v>
      </c>
      <c r="T201" s="29" t="str">
        <f t="shared" si="37"/>
        <v>South</v>
      </c>
      <c r="U201" s="29" t="str">
        <f t="shared" si="38"/>
        <v>Pooja Dey</v>
      </c>
      <c r="V201" s="29">
        <f t="shared" si="39"/>
        <v>2</v>
      </c>
      <c r="W201" s="29">
        <f t="shared" si="40"/>
        <v>56650</v>
      </c>
      <c r="X201" s="29">
        <f t="shared" si="41"/>
        <v>113300</v>
      </c>
      <c r="Y201" s="29">
        <v>94050</v>
      </c>
      <c r="Z201" s="29">
        <f t="shared" si="42"/>
        <v>19250</v>
      </c>
      <c r="AA201" s="29">
        <v>126000</v>
      </c>
      <c r="AB201" s="29" t="s">
        <v>19</v>
      </c>
      <c r="AC201" s="29" t="str">
        <f t="shared" si="43"/>
        <v>Delivered</v>
      </c>
    </row>
    <row r="202" spans="1:29" x14ac:dyDescent="0.3">
      <c r="A202" s="1" t="s">
        <v>419</v>
      </c>
      <c r="B202" s="1" t="s">
        <v>420</v>
      </c>
      <c r="C202" s="1" t="s">
        <v>15</v>
      </c>
      <c r="D202" s="1" t="s">
        <v>16</v>
      </c>
      <c r="E202" s="1" t="s">
        <v>17</v>
      </c>
      <c r="F202" s="1" t="s">
        <v>18</v>
      </c>
      <c r="G202" s="1">
        <v>3</v>
      </c>
      <c r="H202" s="1">
        <v>9150</v>
      </c>
      <c r="I202" s="1">
        <v>27450</v>
      </c>
      <c r="J202" s="1">
        <v>20200</v>
      </c>
      <c r="K202" s="1">
        <v>7250</v>
      </c>
      <c r="L202" s="1">
        <v>30000</v>
      </c>
      <c r="M202" s="1" t="s">
        <v>28</v>
      </c>
      <c r="N202" s="1" t="s">
        <v>20</v>
      </c>
      <c r="P202" s="29" t="str">
        <f t="shared" si="33"/>
        <v>ORD1103</v>
      </c>
      <c r="Q202" s="29" t="str">
        <f t="shared" si="34"/>
        <v>Soham Dutta</v>
      </c>
      <c r="R202" s="29" t="str">
        <f t="shared" si="35"/>
        <v>Desk</v>
      </c>
      <c r="S202" s="29" t="str">
        <f t="shared" si="36"/>
        <v>Furniture</v>
      </c>
      <c r="T202" s="29" t="str">
        <f t="shared" si="37"/>
        <v>West</v>
      </c>
      <c r="U202" s="29" t="str">
        <f t="shared" si="38"/>
        <v>Amit Paul</v>
      </c>
      <c r="V202" s="29">
        <f t="shared" si="39"/>
        <v>3</v>
      </c>
      <c r="W202" s="29">
        <f t="shared" si="40"/>
        <v>9150</v>
      </c>
      <c r="X202" s="29">
        <f t="shared" si="41"/>
        <v>27450</v>
      </c>
      <c r="Y202" s="29">
        <v>20200</v>
      </c>
      <c r="Z202" s="29">
        <f t="shared" si="42"/>
        <v>7250</v>
      </c>
      <c r="AA202" s="29">
        <v>30000</v>
      </c>
      <c r="AB202" s="29" t="s">
        <v>28</v>
      </c>
      <c r="AC202" s="29" t="str">
        <f t="shared" si="43"/>
        <v>Delivered</v>
      </c>
    </row>
  </sheetData>
  <autoFilter ref="A1:N202" xr:uid="{18A0862A-4DBD-4A5B-BF48-4F5B786207D4}"/>
  <conditionalFormatting sqref="A1:N202">
    <cfRule type="containsBlanks" dxfId="3" priority="7">
      <formula>LEN(TRIM(A1))=0</formula>
    </cfRule>
    <cfRule type="containsBlanks" priority="8">
      <formula>LEN(TRIM(A1))=0</formula>
    </cfRule>
  </conditionalFormatting>
  <conditionalFormatting sqref="P1:AC1">
    <cfRule type="containsBlanks" dxfId="2" priority="5">
      <formula>LEN(TRIM(P1))=0</formula>
    </cfRule>
    <cfRule type="containsBlanks" priority="6">
      <formula>LEN(TRIM(P1))=0</formula>
    </cfRule>
  </conditionalFormatting>
  <conditionalFormatting sqref="Y2:Y202">
    <cfRule type="containsBlanks" dxfId="1" priority="3">
      <formula>LEN(TRIM(Y2))=0</formula>
    </cfRule>
    <cfRule type="containsBlanks" priority="4">
      <formula>LEN(TRIM(Y2))=0</formula>
    </cfRule>
  </conditionalFormatting>
  <conditionalFormatting sqref="AA2:AC202">
    <cfRule type="containsBlanks" dxfId="0" priority="1">
      <formula>LEN(TRIM(AA2))=0</formula>
    </cfRule>
    <cfRule type="containsBlanks" priority="2">
      <formula>LEN(TRIM(AA2))=0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7D87E-6445-480E-AB9A-0F92DA404820}">
  <sheetPr codeName="Sheet5"/>
  <dimension ref="A1:T31"/>
  <sheetViews>
    <sheetView workbookViewId="0">
      <selection activeCell="Q8" sqref="Q8"/>
    </sheetView>
  </sheetViews>
  <sheetFormatPr defaultRowHeight="14.4" x14ac:dyDescent="0.3"/>
  <sheetData>
    <row r="1" spans="1:20" x14ac:dyDescent="0.3">
      <c r="A1" s="16" t="s">
        <v>446</v>
      </c>
      <c r="B1" s="17"/>
      <c r="C1" s="17"/>
      <c r="D1" s="17"/>
      <c r="E1" s="17"/>
      <c r="F1" s="17"/>
      <c r="G1" s="17"/>
      <c r="H1" s="17"/>
      <c r="I1" s="17"/>
      <c r="J1" s="17"/>
      <c r="K1" s="17"/>
      <c r="L1" s="17"/>
      <c r="M1" s="17"/>
      <c r="N1" s="17"/>
      <c r="O1" s="17"/>
      <c r="P1" s="17"/>
      <c r="Q1" s="17"/>
      <c r="R1" s="17"/>
    </row>
    <row r="2" spans="1:20" x14ac:dyDescent="0.3">
      <c r="A2" s="17"/>
      <c r="B2" s="17"/>
      <c r="C2" s="17"/>
      <c r="D2" s="17"/>
      <c r="E2" s="17"/>
      <c r="F2" s="17"/>
      <c r="G2" s="17"/>
      <c r="H2" s="17"/>
      <c r="I2" s="17"/>
      <c r="J2" s="17"/>
      <c r="K2" s="17"/>
      <c r="L2" s="17"/>
      <c r="M2" s="17"/>
      <c r="N2" s="17"/>
      <c r="O2" s="17"/>
      <c r="P2" s="17"/>
      <c r="Q2" s="17"/>
      <c r="R2" s="17"/>
    </row>
    <row r="3" spans="1:20" x14ac:dyDescent="0.3">
      <c r="A3" s="17"/>
      <c r="B3" s="17"/>
      <c r="C3" s="17"/>
      <c r="D3" s="17"/>
      <c r="E3" s="17"/>
      <c r="F3" s="17"/>
      <c r="G3" s="17"/>
      <c r="H3" s="17"/>
      <c r="I3" s="17"/>
      <c r="J3" s="17"/>
      <c r="K3" s="17"/>
      <c r="L3" s="17"/>
      <c r="M3" s="17"/>
      <c r="N3" s="17"/>
      <c r="O3" s="17"/>
      <c r="P3" s="17"/>
      <c r="Q3" s="17"/>
      <c r="R3" s="17"/>
    </row>
    <row r="4" spans="1:20" x14ac:dyDescent="0.3">
      <c r="A4" s="17"/>
      <c r="B4" s="17"/>
      <c r="C4" s="17"/>
      <c r="D4" s="17"/>
      <c r="E4" s="17"/>
      <c r="F4" s="17"/>
      <c r="G4" s="17"/>
      <c r="H4" s="17"/>
      <c r="I4" s="17"/>
      <c r="J4" s="17"/>
      <c r="K4" s="17"/>
      <c r="L4" s="17"/>
      <c r="M4" s="17"/>
      <c r="N4" s="17"/>
      <c r="O4" s="17"/>
      <c r="P4" s="17"/>
      <c r="Q4" s="17"/>
      <c r="R4" s="17"/>
    </row>
    <row r="6" spans="1:20" x14ac:dyDescent="0.3">
      <c r="F6" s="18" t="s">
        <v>421</v>
      </c>
      <c r="G6" s="19"/>
      <c r="H6" s="19"/>
      <c r="I6" s="19"/>
      <c r="J6" s="19"/>
      <c r="K6" s="19"/>
      <c r="L6" s="19"/>
      <c r="M6" s="19"/>
    </row>
    <row r="7" spans="1:20" x14ac:dyDescent="0.3">
      <c r="F7" s="19"/>
      <c r="G7" s="19"/>
      <c r="H7" s="19"/>
      <c r="I7" s="19"/>
      <c r="J7" s="19"/>
      <c r="K7" s="19"/>
      <c r="L7" s="19"/>
      <c r="M7" s="19"/>
    </row>
    <row r="9" spans="1:20" ht="15.6" customHeight="1" x14ac:dyDescent="0.3">
      <c r="A9" s="20" t="s">
        <v>422</v>
      </c>
      <c r="B9" s="20"/>
      <c r="C9" s="20"/>
      <c r="D9" s="20" t="s">
        <v>423</v>
      </c>
      <c r="E9" s="20"/>
      <c r="F9" s="20"/>
      <c r="G9" s="20" t="s">
        <v>424</v>
      </c>
      <c r="H9" s="20"/>
      <c r="I9" s="20"/>
      <c r="L9" s="9"/>
      <c r="M9" s="9"/>
      <c r="N9" s="9"/>
      <c r="O9" s="9"/>
      <c r="P9" s="9"/>
      <c r="Q9" s="9"/>
      <c r="R9" s="9"/>
      <c r="S9" s="9"/>
      <c r="T9" s="9"/>
    </row>
    <row r="10" spans="1:20" ht="15.6" customHeight="1" x14ac:dyDescent="0.3">
      <c r="A10" s="14" t="s">
        <v>425</v>
      </c>
      <c r="B10" s="14"/>
      <c r="C10" s="14"/>
      <c r="D10" s="12" t="s">
        <v>426</v>
      </c>
      <c r="E10" s="12"/>
      <c r="F10" s="12"/>
      <c r="G10" s="13" t="s">
        <v>427</v>
      </c>
      <c r="H10" s="13"/>
      <c r="I10" s="13"/>
      <c r="L10" s="9"/>
      <c r="M10" s="9"/>
      <c r="N10" s="9"/>
      <c r="O10" s="9"/>
      <c r="P10" s="9"/>
      <c r="Q10" s="9"/>
      <c r="R10" s="9"/>
      <c r="S10" s="9"/>
      <c r="T10" s="9"/>
    </row>
    <row r="11" spans="1:20" ht="14.4" customHeight="1" x14ac:dyDescent="0.3">
      <c r="A11" s="14"/>
      <c r="B11" s="14"/>
      <c r="C11" s="14"/>
      <c r="D11" s="12"/>
      <c r="E11" s="12"/>
      <c r="F11" s="12"/>
      <c r="G11" s="13"/>
      <c r="H11" s="13"/>
      <c r="I11" s="13"/>
      <c r="L11" s="9"/>
      <c r="M11" s="9"/>
      <c r="N11" s="9"/>
      <c r="O11" s="9"/>
      <c r="P11" s="9"/>
      <c r="Q11" s="9"/>
      <c r="R11" s="9"/>
      <c r="S11" s="9"/>
      <c r="T11" s="9"/>
    </row>
    <row r="12" spans="1:20" ht="14.4" customHeight="1" x14ac:dyDescent="0.3">
      <c r="A12" s="14" t="s">
        <v>428</v>
      </c>
      <c r="B12" s="14"/>
      <c r="C12" s="14"/>
      <c r="D12" s="12" t="s">
        <v>429</v>
      </c>
      <c r="E12" s="12"/>
      <c r="F12" s="12"/>
      <c r="G12" s="15" t="s">
        <v>430</v>
      </c>
      <c r="H12" s="15"/>
      <c r="I12" s="15"/>
      <c r="L12" s="9"/>
      <c r="M12" s="9"/>
      <c r="N12" s="9"/>
      <c r="O12" s="9"/>
      <c r="P12" s="9"/>
      <c r="Q12" s="9"/>
      <c r="R12" s="9"/>
      <c r="S12" s="9"/>
      <c r="T12" s="9"/>
    </row>
    <row r="13" spans="1:20" ht="14.4" customHeight="1" x14ac:dyDescent="0.3">
      <c r="A13" s="14"/>
      <c r="B13" s="14"/>
      <c r="C13" s="14"/>
      <c r="D13" s="12"/>
      <c r="E13" s="12"/>
      <c r="F13" s="12"/>
      <c r="G13" s="15"/>
      <c r="H13" s="15"/>
      <c r="I13" s="15"/>
      <c r="L13" s="9"/>
      <c r="M13" s="9"/>
      <c r="N13" s="9"/>
      <c r="O13" s="9"/>
      <c r="P13" s="9"/>
      <c r="Q13" s="9"/>
      <c r="R13" s="9"/>
      <c r="S13" s="9"/>
      <c r="T13" s="9"/>
    </row>
    <row r="14" spans="1:20" ht="14.4" customHeight="1" x14ac:dyDescent="0.3">
      <c r="A14" s="3"/>
      <c r="B14" s="3"/>
      <c r="C14" s="3"/>
      <c r="D14" s="3"/>
      <c r="E14" s="3"/>
      <c r="F14" s="3"/>
      <c r="G14" s="3"/>
      <c r="H14" s="3"/>
      <c r="I14" s="3"/>
      <c r="L14" s="9"/>
      <c r="M14" s="9"/>
      <c r="N14" s="9"/>
      <c r="O14" s="9"/>
      <c r="P14" s="9"/>
      <c r="Q14" s="9"/>
      <c r="R14" s="9"/>
      <c r="S14" s="9"/>
      <c r="T14" s="9"/>
    </row>
    <row r="15" spans="1:20" ht="14.4" customHeight="1" x14ac:dyDescent="0.35">
      <c r="A15" s="3"/>
      <c r="B15" s="10" t="s">
        <v>431</v>
      </c>
      <c r="C15" s="10"/>
      <c r="D15" s="10"/>
      <c r="E15" s="10"/>
      <c r="F15" s="10"/>
      <c r="G15" s="10"/>
      <c r="H15" s="5"/>
      <c r="I15" s="5"/>
      <c r="L15" s="9"/>
      <c r="M15" s="9"/>
      <c r="N15" s="9"/>
      <c r="O15" s="9"/>
      <c r="P15" s="9"/>
      <c r="Q15" s="9"/>
      <c r="R15" s="9"/>
      <c r="S15" s="9"/>
      <c r="T15" s="9"/>
    </row>
    <row r="16" spans="1:20" ht="14.4" customHeight="1" x14ac:dyDescent="0.35">
      <c r="A16" s="3"/>
      <c r="B16" s="10" t="s">
        <v>432</v>
      </c>
      <c r="C16" s="10"/>
      <c r="D16" s="10"/>
      <c r="E16" s="10"/>
      <c r="F16" s="10"/>
      <c r="G16" s="10"/>
      <c r="H16" s="10"/>
      <c r="I16" s="10"/>
      <c r="L16" s="9"/>
      <c r="M16" s="9"/>
      <c r="N16" s="9"/>
      <c r="O16" s="9"/>
      <c r="P16" s="9"/>
      <c r="Q16" s="9"/>
      <c r="R16" s="9"/>
      <c r="S16" s="9"/>
      <c r="T16" s="9"/>
    </row>
    <row r="17" spans="1:20" ht="14.4" customHeight="1" x14ac:dyDescent="0.35">
      <c r="A17" s="3"/>
      <c r="B17" s="11" t="s">
        <v>433</v>
      </c>
      <c r="C17" s="11"/>
      <c r="D17" s="11"/>
      <c r="E17" s="11"/>
      <c r="F17" s="11"/>
      <c r="G17" s="11"/>
      <c r="H17" s="5"/>
      <c r="I17" s="5"/>
      <c r="L17" s="9"/>
      <c r="M17" s="9"/>
      <c r="N17" s="9"/>
      <c r="O17" s="9"/>
      <c r="P17" s="9"/>
      <c r="Q17" s="9"/>
      <c r="R17" s="9"/>
      <c r="S17" s="9"/>
      <c r="T17" s="9"/>
    </row>
    <row r="18" spans="1:20" ht="14.4" customHeight="1" x14ac:dyDescent="0.35">
      <c r="A18" s="3"/>
      <c r="B18" s="10" t="s">
        <v>434</v>
      </c>
      <c r="C18" s="10"/>
      <c r="D18" s="10"/>
      <c r="E18" s="10"/>
      <c r="F18" s="10"/>
      <c r="G18" s="10"/>
      <c r="H18" s="5"/>
      <c r="I18" s="5"/>
      <c r="L18" s="9"/>
      <c r="M18" s="9"/>
      <c r="N18" s="9"/>
      <c r="O18" s="9"/>
      <c r="P18" s="9"/>
      <c r="Q18" s="9"/>
      <c r="R18" s="9"/>
      <c r="S18" s="9"/>
      <c r="T18" s="9"/>
    </row>
    <row r="19" spans="1:20" ht="14.4" customHeight="1" x14ac:dyDescent="0.35">
      <c r="A19" s="3"/>
      <c r="B19" s="10" t="s">
        <v>435</v>
      </c>
      <c r="C19" s="10"/>
      <c r="D19" s="10"/>
      <c r="E19" s="10"/>
      <c r="F19" s="10"/>
      <c r="G19" s="10"/>
      <c r="H19" s="5"/>
      <c r="I19" s="5"/>
      <c r="L19" s="9"/>
      <c r="M19" s="9"/>
      <c r="N19" s="9"/>
      <c r="O19" s="9"/>
      <c r="P19" s="9"/>
      <c r="Q19" s="9"/>
      <c r="R19" s="9"/>
      <c r="S19" s="9"/>
      <c r="T19" s="9"/>
    </row>
    <row r="20" spans="1:20" ht="14.4" customHeight="1" x14ac:dyDescent="0.35">
      <c r="A20" s="3"/>
      <c r="B20" s="10" t="s">
        <v>436</v>
      </c>
      <c r="C20" s="10"/>
      <c r="D20" s="10"/>
      <c r="E20" s="10"/>
      <c r="F20" s="10"/>
      <c r="G20" s="10"/>
      <c r="H20" s="5"/>
      <c r="I20" s="5"/>
      <c r="L20" s="9"/>
      <c r="M20" s="9"/>
      <c r="N20" s="9"/>
      <c r="O20" s="9"/>
      <c r="P20" s="9"/>
      <c r="Q20" s="9"/>
      <c r="R20" s="9"/>
      <c r="S20" s="9"/>
      <c r="T20" s="9"/>
    </row>
    <row r="21" spans="1:20" ht="14.4" customHeight="1" x14ac:dyDescent="0.35">
      <c r="A21" s="3"/>
      <c r="B21" s="10" t="s">
        <v>437</v>
      </c>
      <c r="C21" s="10"/>
      <c r="D21" s="10"/>
      <c r="E21" s="10"/>
      <c r="F21" s="10"/>
      <c r="G21" s="10"/>
      <c r="H21" s="5"/>
      <c r="I21" s="5"/>
      <c r="L21" s="9"/>
      <c r="M21" s="9"/>
      <c r="N21" s="9"/>
      <c r="O21" s="9"/>
      <c r="P21" s="9"/>
      <c r="Q21" s="9"/>
      <c r="R21" s="9"/>
      <c r="S21" s="9"/>
      <c r="T21" s="9"/>
    </row>
    <row r="22" spans="1:20" ht="14.4" customHeight="1" x14ac:dyDescent="0.3">
      <c r="A22" s="3"/>
      <c r="B22" s="3"/>
      <c r="C22" s="3"/>
      <c r="D22" s="3"/>
      <c r="E22" s="3"/>
      <c r="F22" s="3"/>
      <c r="G22" s="3"/>
      <c r="H22" s="3"/>
      <c r="I22" s="3"/>
      <c r="L22" s="9"/>
      <c r="M22" s="9"/>
      <c r="N22" s="9"/>
      <c r="O22" s="9"/>
      <c r="P22" s="9"/>
      <c r="Q22" s="9"/>
      <c r="R22" s="9"/>
      <c r="S22" s="9"/>
      <c r="T22" s="9"/>
    </row>
    <row r="23" spans="1:20" ht="14.4" customHeight="1" x14ac:dyDescent="0.3">
      <c r="A23" s="3"/>
      <c r="B23" s="3"/>
      <c r="C23" s="3"/>
      <c r="D23" s="3"/>
      <c r="E23" s="3"/>
      <c r="F23" s="3"/>
      <c r="G23" s="3"/>
      <c r="H23" s="3"/>
      <c r="I23" s="3"/>
      <c r="L23" s="9"/>
      <c r="M23" s="9"/>
      <c r="N23" s="9"/>
      <c r="O23" s="9"/>
      <c r="P23" s="9"/>
      <c r="Q23" s="9"/>
      <c r="R23" s="9"/>
      <c r="S23" s="9"/>
      <c r="T23" s="9"/>
    </row>
    <row r="24" spans="1:20" ht="14.4" customHeight="1" x14ac:dyDescent="0.3">
      <c r="A24" s="3"/>
      <c r="B24" s="3"/>
      <c r="C24" s="3"/>
      <c r="D24" s="3"/>
      <c r="E24" s="3"/>
      <c r="F24" s="3"/>
      <c r="G24" s="3"/>
      <c r="H24" s="3"/>
      <c r="I24" s="3"/>
      <c r="L24" s="9"/>
      <c r="M24" s="9"/>
      <c r="N24" s="9"/>
      <c r="O24" s="9"/>
      <c r="P24" s="9"/>
      <c r="Q24" s="9"/>
      <c r="R24" s="9"/>
      <c r="S24" s="9"/>
      <c r="T24" s="9"/>
    </row>
    <row r="25" spans="1:20" ht="14.4" customHeight="1" x14ac:dyDescent="0.3">
      <c r="A25" s="3"/>
      <c r="B25" s="3"/>
      <c r="C25" s="3"/>
      <c r="D25" s="3"/>
      <c r="E25" s="3"/>
      <c r="F25" s="3"/>
      <c r="G25" s="3"/>
      <c r="H25" s="3"/>
      <c r="I25" s="3"/>
      <c r="L25" s="9"/>
      <c r="M25" s="9"/>
      <c r="N25" s="9"/>
      <c r="O25" s="9"/>
      <c r="P25" s="9"/>
      <c r="Q25" s="9"/>
      <c r="R25" s="9"/>
      <c r="S25" s="9"/>
      <c r="T25" s="9"/>
    </row>
    <row r="26" spans="1:20" ht="14.4" customHeight="1" x14ac:dyDescent="0.3">
      <c r="A26" s="3"/>
      <c r="B26" s="3"/>
      <c r="C26" s="3"/>
      <c r="D26" s="3"/>
      <c r="E26" s="3"/>
      <c r="F26" s="3"/>
      <c r="G26" s="3"/>
      <c r="H26" s="3"/>
      <c r="I26" s="3"/>
      <c r="L26" s="9"/>
      <c r="M26" s="9"/>
      <c r="N26" s="9"/>
      <c r="O26" s="9"/>
      <c r="P26" s="9"/>
      <c r="Q26" s="9"/>
      <c r="R26" s="9"/>
      <c r="S26" s="9"/>
      <c r="T26" s="9"/>
    </row>
    <row r="27" spans="1:20" ht="14.4" customHeight="1" x14ac:dyDescent="0.3">
      <c r="A27" s="3"/>
      <c r="B27" s="3"/>
      <c r="C27" s="3"/>
      <c r="D27" s="3"/>
      <c r="E27" s="3"/>
      <c r="F27" s="3"/>
      <c r="G27" s="3"/>
      <c r="H27" s="3"/>
      <c r="I27" s="3"/>
      <c r="L27" s="9"/>
      <c r="M27" s="9"/>
      <c r="N27" s="9"/>
      <c r="O27" s="9"/>
      <c r="P27" s="9"/>
      <c r="Q27" s="9"/>
      <c r="R27" s="9"/>
      <c r="S27" s="9"/>
      <c r="T27" s="9"/>
    </row>
    <row r="28" spans="1:20" ht="14.4" customHeight="1" x14ac:dyDescent="0.3">
      <c r="A28" s="3"/>
      <c r="B28" s="3"/>
      <c r="C28" s="3"/>
      <c r="D28" s="3"/>
      <c r="E28" s="3"/>
      <c r="F28" s="3"/>
      <c r="G28" s="3"/>
      <c r="H28" s="3"/>
      <c r="I28" s="3"/>
      <c r="L28" s="9"/>
      <c r="M28" s="9"/>
      <c r="N28" s="9"/>
      <c r="O28" s="9"/>
      <c r="P28" s="9"/>
      <c r="Q28" s="9"/>
      <c r="R28" s="9"/>
      <c r="S28" s="9"/>
      <c r="T28" s="9"/>
    </row>
    <row r="29" spans="1:20" x14ac:dyDescent="0.3">
      <c r="A29" s="3"/>
      <c r="B29" s="3"/>
      <c r="C29" s="3"/>
      <c r="D29" s="3"/>
      <c r="E29" s="3"/>
      <c r="F29" s="3"/>
      <c r="G29" s="3"/>
      <c r="H29" s="3"/>
      <c r="I29" s="3"/>
    </row>
    <row r="30" spans="1:20" x14ac:dyDescent="0.3">
      <c r="A30" s="3"/>
      <c r="B30" s="3"/>
      <c r="C30" s="3"/>
      <c r="D30" s="3"/>
      <c r="E30" s="3"/>
      <c r="F30" s="3"/>
      <c r="G30" s="3"/>
      <c r="H30" s="3"/>
      <c r="I30" s="3"/>
    </row>
    <row r="31" spans="1:20" x14ac:dyDescent="0.3">
      <c r="A31" s="3"/>
      <c r="B31" s="3"/>
      <c r="C31" s="3"/>
      <c r="D31" s="3"/>
      <c r="E31" s="3"/>
      <c r="F31" s="3"/>
      <c r="G31" s="3"/>
      <c r="H31" s="3"/>
      <c r="I31" s="3"/>
    </row>
  </sheetData>
  <mergeCells count="19">
    <mergeCell ref="A1:R4"/>
    <mergeCell ref="F6:M7"/>
    <mergeCell ref="A9:C9"/>
    <mergeCell ref="D9:F9"/>
    <mergeCell ref="G9:I9"/>
    <mergeCell ref="L9:T28"/>
    <mergeCell ref="B15:G15"/>
    <mergeCell ref="B16:I16"/>
    <mergeCell ref="B17:G17"/>
    <mergeCell ref="B18:G18"/>
    <mergeCell ref="B19:G19"/>
    <mergeCell ref="B20:G20"/>
    <mergeCell ref="B21:G21"/>
    <mergeCell ref="D10:F11"/>
    <mergeCell ref="G10:I11"/>
    <mergeCell ref="A12:C13"/>
    <mergeCell ref="D12:F13"/>
    <mergeCell ref="G12:I13"/>
    <mergeCell ref="A10: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DCAF4-94A5-4085-BF33-DB652C271EA8}">
  <sheetPr codeName="Sheet6"/>
  <dimension ref="A1:W4"/>
  <sheetViews>
    <sheetView showGridLines="0" topLeftCell="A14" workbookViewId="0">
      <selection activeCell="S23" sqref="S23"/>
    </sheetView>
  </sheetViews>
  <sheetFormatPr defaultRowHeight="14.4" x14ac:dyDescent="0.3"/>
  <sheetData>
    <row r="1" spans="1:23" x14ac:dyDescent="0.3">
      <c r="A1" s="21" t="s">
        <v>445</v>
      </c>
      <c r="B1" s="22"/>
      <c r="C1" s="22"/>
      <c r="D1" s="22"/>
      <c r="E1" s="22"/>
      <c r="F1" s="22"/>
      <c r="G1" s="22"/>
      <c r="H1" s="22"/>
      <c r="I1" s="22"/>
      <c r="J1" s="22"/>
      <c r="K1" s="22"/>
      <c r="L1" s="22"/>
      <c r="M1" s="22"/>
      <c r="N1" s="22"/>
      <c r="O1" s="22"/>
      <c r="P1" s="22"/>
      <c r="Q1" s="22"/>
      <c r="R1" s="22"/>
      <c r="S1" s="22"/>
      <c r="T1" s="22"/>
      <c r="U1" s="22"/>
      <c r="V1" s="22"/>
      <c r="W1" s="22"/>
    </row>
    <row r="2" spans="1:23" x14ac:dyDescent="0.3">
      <c r="A2" s="22"/>
      <c r="B2" s="22"/>
      <c r="C2" s="22"/>
      <c r="D2" s="22"/>
      <c r="E2" s="22"/>
      <c r="F2" s="22"/>
      <c r="G2" s="22"/>
      <c r="H2" s="22"/>
      <c r="I2" s="22"/>
      <c r="J2" s="22"/>
      <c r="K2" s="22"/>
      <c r="L2" s="22"/>
      <c r="M2" s="22"/>
      <c r="N2" s="22"/>
      <c r="O2" s="22"/>
      <c r="P2" s="22"/>
      <c r="Q2" s="22"/>
      <c r="R2" s="22"/>
      <c r="S2" s="22"/>
      <c r="T2" s="22"/>
      <c r="U2" s="22"/>
      <c r="V2" s="22"/>
      <c r="W2" s="22"/>
    </row>
    <row r="3" spans="1:23" x14ac:dyDescent="0.3">
      <c r="A3" s="22"/>
      <c r="B3" s="22"/>
      <c r="C3" s="22"/>
      <c r="D3" s="22"/>
      <c r="E3" s="22"/>
      <c r="F3" s="22"/>
      <c r="G3" s="22"/>
      <c r="H3" s="22"/>
      <c r="I3" s="22"/>
      <c r="J3" s="22"/>
      <c r="K3" s="22"/>
      <c r="L3" s="22"/>
      <c r="M3" s="22"/>
      <c r="N3" s="22"/>
      <c r="O3" s="22"/>
      <c r="P3" s="22"/>
      <c r="Q3" s="22"/>
      <c r="R3" s="22"/>
      <c r="S3" s="22"/>
      <c r="T3" s="22"/>
      <c r="U3" s="22"/>
      <c r="V3" s="22"/>
      <c r="W3" s="22"/>
    </row>
    <row r="4" spans="1:23" x14ac:dyDescent="0.3">
      <c r="A4" s="22"/>
      <c r="B4" s="22"/>
      <c r="C4" s="22"/>
      <c r="D4" s="22"/>
      <c r="E4" s="22"/>
      <c r="F4" s="22"/>
      <c r="G4" s="22"/>
      <c r="H4" s="22"/>
      <c r="I4" s="22"/>
      <c r="J4" s="22"/>
      <c r="K4" s="22"/>
      <c r="L4" s="22"/>
      <c r="M4" s="22"/>
      <c r="N4" s="22"/>
      <c r="O4" s="22"/>
      <c r="P4" s="22"/>
      <c r="Q4" s="22"/>
      <c r="R4" s="22"/>
      <c r="S4" s="22"/>
      <c r="T4" s="22"/>
      <c r="U4" s="22"/>
      <c r="V4" s="22"/>
      <c r="W4" s="22"/>
    </row>
  </sheetData>
  <mergeCells count="1">
    <mergeCell ref="A1:W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acro_Home">
                <anchor moveWithCells="1">
                  <from>
                    <xdr:col>15</xdr:col>
                    <xdr:colOff>426720</xdr:colOff>
                    <xdr:row>24</xdr:row>
                    <xdr:rowOff>45720</xdr:rowOff>
                  </from>
                  <to>
                    <xdr:col>17</xdr:col>
                    <xdr:colOff>0</xdr:colOff>
                    <xdr:row>27</xdr:row>
                    <xdr:rowOff>99060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9554-D788-4A04-A709-1F7F217DE389}">
  <sheetPr codeName="Sheet7"/>
  <dimension ref="A31:AD65"/>
  <sheetViews>
    <sheetView showGridLines="0" topLeftCell="A30" zoomScale="70" zoomScaleNormal="70" workbookViewId="0">
      <selection activeCell="P56" sqref="P56"/>
    </sheetView>
  </sheetViews>
  <sheetFormatPr defaultRowHeight="14.4" x14ac:dyDescent="0.3"/>
  <sheetData>
    <row r="31" spans="1:30" x14ac:dyDescent="0.3">
      <c r="A31" s="25" t="s">
        <v>447</v>
      </c>
      <c r="B31" s="25"/>
      <c r="C31" s="25"/>
      <c r="D31" s="25"/>
      <c r="E31" s="25"/>
      <c r="F31" s="25"/>
      <c r="G31" s="25"/>
      <c r="H31" s="25"/>
      <c r="I31" s="25"/>
      <c r="J31" s="25"/>
      <c r="K31" s="25"/>
      <c r="L31" s="25"/>
      <c r="M31" s="25"/>
      <c r="N31" s="25"/>
      <c r="O31" s="25"/>
      <c r="P31" s="25"/>
      <c r="Q31" s="25"/>
      <c r="R31" s="24"/>
      <c r="S31" s="24"/>
      <c r="T31" s="24"/>
      <c r="U31" s="24"/>
      <c r="V31" s="24"/>
      <c r="W31" s="24"/>
      <c r="X31" s="24"/>
      <c r="Y31" s="24"/>
      <c r="Z31" s="24"/>
      <c r="AA31" s="24"/>
      <c r="AB31" s="24"/>
      <c r="AC31" s="24"/>
      <c r="AD31" s="24"/>
    </row>
    <row r="32" spans="1:30" x14ac:dyDescent="0.3">
      <c r="A32" s="25"/>
      <c r="B32" s="25"/>
      <c r="C32" s="25"/>
      <c r="D32" s="25"/>
      <c r="E32" s="25"/>
      <c r="F32" s="25"/>
      <c r="G32" s="25"/>
      <c r="H32" s="25"/>
      <c r="I32" s="25"/>
      <c r="J32" s="25"/>
      <c r="K32" s="25"/>
      <c r="L32" s="25"/>
      <c r="M32" s="25"/>
      <c r="N32" s="25"/>
      <c r="O32" s="25"/>
      <c r="P32" s="25"/>
      <c r="Q32" s="25"/>
      <c r="R32" s="24"/>
      <c r="S32" s="24"/>
      <c r="T32" s="24"/>
      <c r="U32" s="24"/>
      <c r="V32" s="24"/>
      <c r="W32" s="24"/>
      <c r="X32" s="24"/>
      <c r="Y32" s="24"/>
      <c r="Z32" s="24"/>
      <c r="AA32" s="24"/>
      <c r="AB32" s="24"/>
      <c r="AC32" s="24"/>
      <c r="AD32" s="24"/>
    </row>
    <row r="33" spans="1:30" x14ac:dyDescent="0.3">
      <c r="A33" s="25"/>
      <c r="B33" s="25"/>
      <c r="C33" s="25"/>
      <c r="D33" s="25"/>
      <c r="E33" s="25"/>
      <c r="F33" s="25"/>
      <c r="G33" s="25"/>
      <c r="H33" s="25"/>
      <c r="I33" s="25"/>
      <c r="J33" s="25"/>
      <c r="K33" s="25"/>
      <c r="L33" s="25"/>
      <c r="M33" s="25"/>
      <c r="N33" s="25"/>
      <c r="O33" s="25"/>
      <c r="P33" s="25"/>
      <c r="Q33" s="25"/>
      <c r="R33" s="24"/>
      <c r="S33" s="24"/>
      <c r="T33" s="24"/>
      <c r="U33" s="24"/>
      <c r="V33" s="24"/>
      <c r="W33" s="24"/>
      <c r="X33" s="24"/>
      <c r="Y33" s="24"/>
      <c r="Z33" s="24"/>
      <c r="AA33" s="24"/>
      <c r="AB33" s="24"/>
      <c r="AC33" s="24"/>
      <c r="AD33" s="24"/>
    </row>
    <row r="34" spans="1:30" x14ac:dyDescent="0.3">
      <c r="A34" s="25"/>
      <c r="B34" s="25"/>
      <c r="C34" s="25"/>
      <c r="D34" s="25"/>
      <c r="E34" s="25"/>
      <c r="F34" s="25"/>
      <c r="G34" s="25"/>
      <c r="H34" s="25"/>
      <c r="I34" s="25"/>
      <c r="J34" s="25"/>
      <c r="K34" s="25"/>
      <c r="L34" s="25"/>
      <c r="M34" s="25"/>
      <c r="N34" s="25"/>
      <c r="O34" s="25"/>
      <c r="P34" s="25"/>
      <c r="Q34" s="25"/>
      <c r="R34" s="24"/>
      <c r="S34" s="24"/>
      <c r="T34" s="24"/>
      <c r="U34" s="24"/>
      <c r="V34" s="24"/>
      <c r="W34" s="24"/>
      <c r="X34" s="24"/>
      <c r="Y34" s="24"/>
      <c r="Z34" s="24"/>
      <c r="AA34" s="24"/>
      <c r="AB34" s="24"/>
      <c r="AC34" s="24"/>
      <c r="AD34" s="24"/>
    </row>
    <row r="35" spans="1:30" x14ac:dyDescent="0.3">
      <c r="A35" s="25"/>
      <c r="B35" s="25"/>
      <c r="C35" s="25"/>
      <c r="D35" s="25"/>
      <c r="E35" s="25"/>
      <c r="F35" s="25"/>
      <c r="G35" s="25"/>
      <c r="H35" s="25"/>
      <c r="I35" s="25"/>
      <c r="J35" s="25"/>
      <c r="K35" s="25"/>
      <c r="L35" s="25"/>
      <c r="M35" s="25"/>
      <c r="N35" s="25"/>
      <c r="O35" s="25"/>
      <c r="P35" s="25"/>
      <c r="Q35" s="25"/>
      <c r="R35" s="24"/>
      <c r="S35" s="24"/>
      <c r="T35" s="24"/>
      <c r="U35" s="24"/>
      <c r="V35" s="24"/>
      <c r="W35" s="24"/>
      <c r="X35" s="24"/>
      <c r="Y35" s="24"/>
      <c r="Z35" s="24"/>
      <c r="AA35" s="24"/>
      <c r="AB35" s="24"/>
      <c r="AC35" s="24"/>
      <c r="AD35" s="24"/>
    </row>
    <row r="36" spans="1:30" x14ac:dyDescent="0.3">
      <c r="A36" s="25"/>
      <c r="B36" s="25"/>
      <c r="C36" s="25"/>
      <c r="D36" s="25"/>
      <c r="E36" s="25"/>
      <c r="F36" s="25"/>
      <c r="G36" s="25"/>
      <c r="H36" s="25"/>
      <c r="I36" s="25"/>
      <c r="J36" s="25"/>
      <c r="K36" s="25"/>
      <c r="L36" s="25"/>
      <c r="M36" s="25"/>
      <c r="N36" s="25"/>
      <c r="O36" s="25"/>
      <c r="P36" s="25"/>
      <c r="Q36" s="25"/>
      <c r="R36" s="24"/>
      <c r="S36" s="24"/>
      <c r="T36" s="24"/>
      <c r="U36" s="24"/>
      <c r="V36" s="24"/>
      <c r="W36" s="24"/>
      <c r="X36" s="24"/>
      <c r="Y36" s="24"/>
      <c r="Z36" s="24"/>
      <c r="AA36" s="24"/>
      <c r="AB36" s="24"/>
      <c r="AC36" s="24"/>
      <c r="AD36" s="24"/>
    </row>
    <row r="37" spans="1:30" x14ac:dyDescent="0.3">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row>
    <row r="38" spans="1:30" x14ac:dyDescent="0.3">
      <c r="A38" s="27" t="s">
        <v>448</v>
      </c>
      <c r="B38" s="26"/>
      <c r="C38" s="26"/>
      <c r="D38" s="26"/>
      <c r="E38" s="26"/>
      <c r="F38" s="26"/>
      <c r="G38" s="26"/>
      <c r="H38" s="26"/>
      <c r="I38" s="26"/>
      <c r="J38" s="26"/>
      <c r="K38" s="26"/>
      <c r="L38" s="26"/>
      <c r="M38" s="26"/>
      <c r="N38" s="26"/>
      <c r="O38" s="26"/>
      <c r="P38" s="26"/>
      <c r="Q38" s="26"/>
      <c r="R38" s="24"/>
      <c r="S38" s="24"/>
      <c r="T38" s="24"/>
      <c r="U38" s="24"/>
      <c r="V38" s="24"/>
      <c r="W38" s="24"/>
      <c r="X38" s="24"/>
      <c r="Y38" s="24"/>
      <c r="Z38" s="24"/>
      <c r="AA38" s="24"/>
      <c r="AB38" s="24"/>
      <c r="AC38" s="24"/>
      <c r="AD38" s="24"/>
    </row>
    <row r="39" spans="1:30" x14ac:dyDescent="0.3">
      <c r="A39" s="26"/>
      <c r="B39" s="26"/>
      <c r="C39" s="26"/>
      <c r="D39" s="26"/>
      <c r="E39" s="26"/>
      <c r="F39" s="26"/>
      <c r="G39" s="26"/>
      <c r="H39" s="26"/>
      <c r="I39" s="26"/>
      <c r="J39" s="26"/>
      <c r="K39" s="26"/>
      <c r="L39" s="26"/>
      <c r="M39" s="26"/>
      <c r="N39" s="26"/>
      <c r="O39" s="26"/>
      <c r="P39" s="26"/>
      <c r="Q39" s="26"/>
      <c r="R39" s="24"/>
      <c r="S39" s="24"/>
      <c r="T39" s="24"/>
      <c r="U39" s="24"/>
      <c r="V39" s="24"/>
      <c r="W39" s="24"/>
      <c r="X39" s="24"/>
      <c r="Y39" s="24"/>
      <c r="Z39" s="24"/>
      <c r="AA39" s="24"/>
      <c r="AB39" s="24"/>
      <c r="AC39" s="24"/>
      <c r="AD39" s="24"/>
    </row>
    <row r="40" spans="1:30" x14ac:dyDescent="0.3">
      <c r="A40" s="26"/>
      <c r="B40" s="26"/>
      <c r="C40" s="26"/>
      <c r="D40" s="26"/>
      <c r="E40" s="26"/>
      <c r="F40" s="26"/>
      <c r="G40" s="26"/>
      <c r="H40" s="26"/>
      <c r="I40" s="26"/>
      <c r="J40" s="26"/>
      <c r="K40" s="26"/>
      <c r="L40" s="26"/>
      <c r="M40" s="26"/>
      <c r="N40" s="26"/>
      <c r="O40" s="26"/>
      <c r="P40" s="26"/>
      <c r="Q40" s="26"/>
      <c r="R40" s="24"/>
      <c r="S40" s="24"/>
      <c r="T40" s="24"/>
      <c r="U40" s="24"/>
      <c r="V40" s="24"/>
      <c r="W40" s="24"/>
      <c r="X40" s="24"/>
      <c r="Y40" s="24"/>
      <c r="Z40" s="24"/>
      <c r="AA40" s="24"/>
      <c r="AB40" s="24"/>
      <c r="AC40" s="24"/>
      <c r="AD40" s="24"/>
    </row>
    <row r="41" spans="1:30" x14ac:dyDescent="0.3">
      <c r="R41" s="24"/>
      <c r="S41" s="24"/>
      <c r="T41" s="24"/>
      <c r="U41" s="24"/>
      <c r="V41" s="24"/>
      <c r="W41" s="24"/>
      <c r="X41" s="24"/>
      <c r="Y41" s="24"/>
      <c r="Z41" s="24"/>
      <c r="AA41" s="24"/>
      <c r="AB41" s="24"/>
      <c r="AC41" s="24"/>
      <c r="AD41" s="24"/>
    </row>
    <row r="42" spans="1:30" x14ac:dyDescent="0.3">
      <c r="R42" s="24"/>
      <c r="S42" s="24"/>
      <c r="T42" s="24"/>
      <c r="U42" s="24"/>
      <c r="V42" s="24"/>
      <c r="W42" s="24"/>
      <c r="X42" s="24"/>
      <c r="Y42" s="24"/>
      <c r="Z42" s="24"/>
      <c r="AA42" s="24"/>
      <c r="AB42" s="24"/>
      <c r="AC42" s="24"/>
      <c r="AD42" s="24"/>
    </row>
    <row r="43" spans="1:30" x14ac:dyDescent="0.3">
      <c r="R43" s="24"/>
      <c r="S43" s="24"/>
      <c r="T43" s="24"/>
      <c r="U43" s="24"/>
      <c r="V43" s="24"/>
      <c r="W43" s="24"/>
      <c r="X43" s="24"/>
      <c r="Y43" s="24"/>
      <c r="Z43" s="24"/>
      <c r="AA43" s="24"/>
      <c r="AB43" s="24"/>
      <c r="AC43" s="24"/>
      <c r="AD43" s="24"/>
    </row>
    <row r="44" spans="1:30" x14ac:dyDescent="0.3">
      <c r="R44" s="24"/>
      <c r="S44" s="24"/>
      <c r="T44" s="24"/>
      <c r="U44" s="24"/>
      <c r="V44" s="24"/>
      <c r="W44" s="24"/>
      <c r="X44" s="24"/>
      <c r="Y44" s="24"/>
      <c r="Z44" s="24"/>
      <c r="AA44" s="24"/>
      <c r="AB44" s="24"/>
      <c r="AC44" s="24"/>
      <c r="AD44" s="24"/>
    </row>
    <row r="45" spans="1:30" x14ac:dyDescent="0.3">
      <c r="R45" s="24"/>
      <c r="S45" s="24"/>
      <c r="T45" s="24"/>
      <c r="U45" s="24"/>
      <c r="V45" s="24"/>
      <c r="W45" s="24"/>
      <c r="X45" s="24"/>
      <c r="Y45" s="24"/>
      <c r="Z45" s="24"/>
      <c r="AA45" s="24"/>
      <c r="AB45" s="24"/>
      <c r="AC45" s="24"/>
      <c r="AD45" s="24"/>
    </row>
    <row r="46" spans="1:30" x14ac:dyDescent="0.3">
      <c r="R46" s="24"/>
      <c r="S46" s="24"/>
      <c r="T46" s="24"/>
      <c r="U46" s="24"/>
      <c r="V46" s="24"/>
      <c r="W46" s="24"/>
      <c r="X46" s="24"/>
      <c r="Y46" s="24"/>
      <c r="Z46" s="24"/>
      <c r="AA46" s="24"/>
      <c r="AB46" s="24"/>
      <c r="AC46" s="24"/>
      <c r="AD46" s="24"/>
    </row>
    <row r="47" spans="1:30" x14ac:dyDescent="0.3">
      <c r="R47" s="24"/>
      <c r="S47" s="24"/>
      <c r="T47" s="24"/>
      <c r="U47" s="24"/>
      <c r="V47" s="24"/>
      <c r="W47" s="24"/>
      <c r="X47" s="24"/>
      <c r="Y47" s="24"/>
      <c r="Z47" s="24"/>
      <c r="AA47" s="24"/>
      <c r="AB47" s="24"/>
      <c r="AC47" s="24"/>
      <c r="AD47" s="24"/>
    </row>
    <row r="48" spans="1:30" x14ac:dyDescent="0.3">
      <c r="R48" s="24"/>
      <c r="S48" s="24"/>
      <c r="T48" s="24"/>
      <c r="U48" s="24"/>
      <c r="V48" s="24"/>
      <c r="W48" s="24"/>
      <c r="X48" s="24"/>
      <c r="Y48" s="24"/>
      <c r="Z48" s="24"/>
      <c r="AA48" s="24"/>
      <c r="AB48" s="24"/>
      <c r="AC48" s="24"/>
      <c r="AD48" s="24"/>
    </row>
    <row r="49" spans="6:30" ht="14.4" customHeight="1" x14ac:dyDescent="0.45">
      <c r="F49" s="28"/>
      <c r="G49" s="23"/>
      <c r="H49" s="23"/>
      <c r="I49" s="23"/>
      <c r="J49" s="23"/>
      <c r="K49" s="23"/>
      <c r="L49" s="23"/>
      <c r="R49" s="24"/>
      <c r="S49" s="24"/>
      <c r="T49" s="24"/>
      <c r="U49" s="24"/>
      <c r="V49" s="24"/>
      <c r="W49" s="24"/>
      <c r="X49" s="24"/>
      <c r="Y49" s="24"/>
      <c r="Z49" s="24"/>
      <c r="AA49" s="24"/>
      <c r="AB49" s="24"/>
      <c r="AC49" s="24"/>
      <c r="AD49" s="24"/>
    </row>
    <row r="50" spans="6:30" x14ac:dyDescent="0.3">
      <c r="F50" s="23"/>
      <c r="G50" s="23"/>
      <c r="H50" s="23"/>
      <c r="I50" s="23"/>
      <c r="J50" s="23"/>
      <c r="K50" s="23"/>
      <c r="L50" s="23"/>
      <c r="R50" s="24"/>
      <c r="S50" s="24"/>
      <c r="T50" s="24"/>
      <c r="U50" s="24"/>
      <c r="V50" s="24"/>
      <c r="W50" s="24"/>
      <c r="X50" s="24"/>
      <c r="Y50" s="24"/>
      <c r="Z50" s="24"/>
      <c r="AA50" s="24"/>
      <c r="AB50" s="24"/>
      <c r="AC50" s="24"/>
      <c r="AD50" s="24"/>
    </row>
    <row r="51" spans="6:30" x14ac:dyDescent="0.3">
      <c r="R51" s="24"/>
      <c r="S51" s="24"/>
      <c r="T51" s="24"/>
      <c r="U51" s="24"/>
      <c r="V51" s="24"/>
      <c r="W51" s="24"/>
      <c r="X51" s="24"/>
      <c r="Y51" s="24"/>
      <c r="Z51" s="24"/>
      <c r="AA51" s="24"/>
      <c r="AB51" s="24"/>
      <c r="AC51" s="24"/>
      <c r="AD51" s="24"/>
    </row>
    <row r="52" spans="6:30" x14ac:dyDescent="0.3">
      <c r="R52" s="24"/>
      <c r="S52" s="24"/>
      <c r="T52" s="24"/>
      <c r="U52" s="24"/>
      <c r="V52" s="24"/>
      <c r="W52" s="24"/>
      <c r="X52" s="24"/>
      <c r="Y52" s="24"/>
      <c r="Z52" s="24"/>
      <c r="AA52" s="24"/>
      <c r="AB52" s="24"/>
      <c r="AC52" s="24"/>
      <c r="AD52" s="24"/>
    </row>
    <row r="53" spans="6:30" x14ac:dyDescent="0.3">
      <c r="R53" s="24"/>
      <c r="S53" s="24"/>
      <c r="T53" s="24"/>
      <c r="U53" s="24"/>
      <c r="V53" s="24"/>
      <c r="W53" s="24"/>
      <c r="X53" s="24"/>
      <c r="Y53" s="24"/>
      <c r="Z53" s="24"/>
      <c r="AA53" s="24"/>
      <c r="AB53" s="24"/>
      <c r="AC53" s="24"/>
      <c r="AD53" s="24"/>
    </row>
    <row r="54" spans="6:30" x14ac:dyDescent="0.3">
      <c r="R54" s="24"/>
      <c r="S54" s="24"/>
      <c r="T54" s="24"/>
      <c r="U54" s="24"/>
      <c r="V54" s="24"/>
      <c r="W54" s="24"/>
      <c r="X54" s="24"/>
      <c r="Y54" s="24"/>
      <c r="Z54" s="24"/>
      <c r="AA54" s="24"/>
      <c r="AB54" s="24"/>
      <c r="AC54" s="24"/>
      <c r="AD54" s="24"/>
    </row>
    <row r="55" spans="6:30" x14ac:dyDescent="0.3">
      <c r="R55" s="24"/>
      <c r="S55" s="24"/>
      <c r="T55" s="24"/>
      <c r="U55" s="24"/>
      <c r="V55" s="24"/>
      <c r="W55" s="24"/>
      <c r="X55" s="24"/>
      <c r="Y55" s="24"/>
      <c r="Z55" s="24"/>
      <c r="AA55" s="24"/>
      <c r="AB55" s="24"/>
      <c r="AC55" s="24"/>
      <c r="AD55" s="24"/>
    </row>
    <row r="56" spans="6:30" x14ac:dyDescent="0.3">
      <c r="R56" s="24"/>
      <c r="S56" s="24"/>
      <c r="T56" s="24"/>
      <c r="U56" s="24"/>
      <c r="V56" s="24"/>
      <c r="W56" s="24"/>
      <c r="X56" s="24"/>
      <c r="Y56" s="24"/>
      <c r="Z56" s="24"/>
      <c r="AA56" s="24"/>
      <c r="AB56" s="24"/>
      <c r="AC56" s="24"/>
      <c r="AD56" s="24"/>
    </row>
    <row r="57" spans="6:30" x14ac:dyDescent="0.3">
      <c r="R57" s="24"/>
      <c r="S57" s="24"/>
      <c r="T57" s="24"/>
      <c r="U57" s="24"/>
      <c r="V57" s="24"/>
      <c r="W57" s="24"/>
      <c r="X57" s="24"/>
      <c r="Y57" s="24"/>
      <c r="Z57" s="24"/>
      <c r="AA57" s="24"/>
      <c r="AB57" s="24"/>
      <c r="AC57" s="24"/>
      <c r="AD57" s="24"/>
    </row>
    <row r="58" spans="6:30" x14ac:dyDescent="0.3">
      <c r="R58" s="24"/>
      <c r="S58" s="24"/>
      <c r="T58" s="24"/>
      <c r="U58" s="24"/>
      <c r="V58" s="24"/>
      <c r="W58" s="24"/>
      <c r="X58" s="24"/>
      <c r="Y58" s="24"/>
      <c r="Z58" s="24"/>
      <c r="AA58" s="24"/>
      <c r="AB58" s="24"/>
      <c r="AC58" s="24"/>
      <c r="AD58" s="24"/>
    </row>
    <row r="59" spans="6:30" x14ac:dyDescent="0.3">
      <c r="R59" s="24"/>
      <c r="S59" s="24"/>
      <c r="T59" s="24"/>
      <c r="U59" s="24"/>
      <c r="V59" s="24"/>
      <c r="W59" s="24"/>
      <c r="X59" s="24"/>
      <c r="Y59" s="24"/>
      <c r="Z59" s="24"/>
      <c r="AA59" s="24"/>
      <c r="AB59" s="24"/>
      <c r="AC59" s="24"/>
      <c r="AD59" s="24"/>
    </row>
    <row r="60" spans="6:30" x14ac:dyDescent="0.3">
      <c r="R60" s="24"/>
      <c r="S60" s="24"/>
      <c r="T60" s="24"/>
      <c r="U60" s="24"/>
      <c r="V60" s="24"/>
      <c r="W60" s="24"/>
      <c r="X60" s="24"/>
      <c r="Y60" s="24"/>
      <c r="Z60" s="24"/>
      <c r="AA60" s="24"/>
      <c r="AB60" s="24"/>
      <c r="AC60" s="24"/>
      <c r="AD60" s="24"/>
    </row>
    <row r="61" spans="6:30" x14ac:dyDescent="0.3">
      <c r="R61" s="24"/>
      <c r="S61" s="24"/>
      <c r="T61" s="24"/>
      <c r="U61" s="24"/>
      <c r="V61" s="24"/>
      <c r="W61" s="24"/>
      <c r="X61" s="24"/>
      <c r="Y61" s="24"/>
      <c r="Z61" s="24"/>
      <c r="AA61" s="24"/>
      <c r="AB61" s="24"/>
      <c r="AC61" s="24"/>
      <c r="AD61" s="24"/>
    </row>
    <row r="62" spans="6:30" x14ac:dyDescent="0.3">
      <c r="R62" s="24"/>
      <c r="S62" s="24"/>
      <c r="T62" s="24"/>
      <c r="U62" s="24"/>
      <c r="V62" s="24"/>
      <c r="W62" s="24"/>
      <c r="X62" s="24"/>
      <c r="Y62" s="24"/>
      <c r="Z62" s="24"/>
      <c r="AA62" s="24"/>
      <c r="AB62" s="24"/>
      <c r="AC62" s="24"/>
      <c r="AD62" s="24"/>
    </row>
    <row r="63" spans="6:30" x14ac:dyDescent="0.3">
      <c r="R63" s="24"/>
      <c r="S63" s="24"/>
      <c r="T63" s="24"/>
      <c r="U63" s="24"/>
      <c r="V63" s="24"/>
      <c r="W63" s="24"/>
      <c r="X63" s="24"/>
      <c r="Y63" s="24"/>
      <c r="Z63" s="24"/>
      <c r="AA63" s="24"/>
      <c r="AB63" s="24"/>
      <c r="AC63" s="24"/>
      <c r="AD63" s="24"/>
    </row>
    <row r="64" spans="6:30" x14ac:dyDescent="0.3">
      <c r="R64" s="24"/>
      <c r="S64" s="24"/>
      <c r="T64" s="24"/>
      <c r="U64" s="24"/>
      <c r="V64" s="24"/>
      <c r="W64" s="24"/>
      <c r="X64" s="24"/>
      <c r="Y64" s="24"/>
      <c r="Z64" s="24"/>
      <c r="AA64" s="24"/>
      <c r="AB64" s="24"/>
      <c r="AC64" s="24"/>
      <c r="AD64" s="24"/>
    </row>
    <row r="65" spans="18:30" x14ac:dyDescent="0.3">
      <c r="R65" s="24"/>
      <c r="S65" s="24"/>
      <c r="T65" s="24"/>
      <c r="U65" s="24"/>
      <c r="V65" s="24"/>
      <c r="W65" s="24"/>
      <c r="X65" s="24"/>
      <c r="Y65" s="24"/>
      <c r="Z65" s="24"/>
      <c r="AA65" s="24"/>
      <c r="AB65" s="24"/>
      <c r="AC65" s="24"/>
      <c r="AD65" s="24"/>
    </row>
  </sheetData>
  <mergeCells count="4">
    <mergeCell ref="R31:AD65"/>
    <mergeCell ref="A31:Q36"/>
    <mergeCell ref="A38:Q40"/>
    <mergeCell ref="A37:Q3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_Dashboard">
                <anchor moveWithCells="1" sizeWithCells="1">
                  <from>
                    <xdr:col>5</xdr:col>
                    <xdr:colOff>304800</xdr:colOff>
                    <xdr:row>43</xdr:row>
                    <xdr:rowOff>7620</xdr:rowOff>
                  </from>
                  <to>
                    <xdr:col>11</xdr:col>
                    <xdr:colOff>220980</xdr:colOff>
                    <xdr:row>45</xdr:row>
                    <xdr:rowOff>121920</xdr:rowOff>
                  </to>
                </anchor>
              </controlPr>
            </control>
          </mc:Choice>
        </mc:AlternateContent>
        <mc:AlternateContent xmlns:mc="http://schemas.openxmlformats.org/markup-compatibility/2006">
          <mc:Choice Requires="x14">
            <control shapeId="5123" r:id="rId4" name="Button 3">
              <controlPr defaultSize="0" print="0" autoFill="0" autoPict="0" macro="[0]!Macro_Data">
                <anchor moveWithCells="1" sizeWithCells="1">
                  <from>
                    <xdr:col>5</xdr:col>
                    <xdr:colOff>312420</xdr:colOff>
                    <xdr:row>47</xdr:row>
                    <xdr:rowOff>160020</xdr:rowOff>
                  </from>
                  <to>
                    <xdr:col>11</xdr:col>
                    <xdr:colOff>236220</xdr:colOff>
                    <xdr:row>50</xdr:row>
                    <xdr:rowOff>83820</xdr:rowOff>
                  </to>
                </anchor>
              </controlPr>
            </control>
          </mc:Choice>
        </mc:AlternateContent>
        <mc:AlternateContent xmlns:mc="http://schemas.openxmlformats.org/markup-compatibility/2006">
          <mc:Choice Requires="x14">
            <control shapeId="5124" r:id="rId5" name="Button 4">
              <controlPr defaultSize="0" print="0" autoFill="0" autoPict="0" macro="[0]!Macro10">
                <anchor moveWithCells="1" sizeWithCells="1">
                  <from>
                    <xdr:col>5</xdr:col>
                    <xdr:colOff>297180</xdr:colOff>
                    <xdr:row>53</xdr:row>
                    <xdr:rowOff>15240</xdr:rowOff>
                  </from>
                  <to>
                    <xdr:col>11</xdr:col>
                    <xdr:colOff>198120</xdr:colOff>
                    <xdr:row>56</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Revenue by chatagory</vt:lpstr>
      <vt:lpstr>Delivery Status by Oder ID</vt:lpstr>
      <vt:lpstr>Region vs quantity</vt:lpstr>
      <vt:lpstr>DATA(RAW CUM CLEANED)</vt:lpstr>
      <vt:lpstr>Data Cleaning instructions</vt:lpstr>
      <vt:lpstr>Dashboard</vt:lpstr>
      <vt:lpstr>Home Page</vt:lpstr>
      <vt:lpstr>Clean</vt:lpstr>
      <vt:lpstr>Clean_Data</vt:lpstr>
      <vt:lpstr>table1</vt:lpstr>
      <vt:lpstr>table2</vt:lpstr>
      <vt:lpstr>Uncleaned</vt:lpstr>
      <vt:lpstr>Uncleaned_Data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SAUBHAGYA MUNSI</dc:creator>
  <cp:lastModifiedBy>SAUBHAGYA MUNSI</cp:lastModifiedBy>
  <dcterms:created xsi:type="dcterms:W3CDTF">2026-05-19T02:00:34Z</dcterms:created>
  <dcterms:modified xsi:type="dcterms:W3CDTF">2026-05-19T15:40:24Z</dcterms:modified>
</cp:coreProperties>
</file>